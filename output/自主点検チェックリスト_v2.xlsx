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inin-kou\Documents\Claude\Projects\自主点検実施基準\output\"/>
    </mc:Choice>
  </mc:AlternateContent>
  <xr:revisionPtr revIDLastSave="0" documentId="13_ncr:1_{E1F25706-56D8-47BD-935C-F1E1CDA1A2DF}" xr6:coauthVersionLast="47" xr6:coauthVersionMax="47" xr10:uidLastSave="{00000000-0000-0000-0000-000000000000}"/>
  <bookViews>
    <workbookView xWindow="-110" yWindow="-110" windowWidth="19420" windowHeight="10300" activeTab="1" xr2:uid="{00000000-000D-0000-FFFF-FFFF00000000}"/>
  </bookViews>
  <sheets>
    <sheet name="提出物チェックリスト" sheetId="1" r:id="rId1"/>
    <sheet name="チェックポイント確認" sheetId="2" r:id="rId2"/>
    <sheet name="点検項目インデックス"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3" l="1"/>
  <c r="E35" i="3"/>
  <c r="D35" i="3"/>
  <c r="E34" i="3"/>
  <c r="D34" i="3"/>
  <c r="E33" i="3"/>
  <c r="D33" i="3"/>
  <c r="E32" i="3"/>
  <c r="D32" i="3"/>
  <c r="E31" i="3"/>
  <c r="D31" i="3"/>
  <c r="E30" i="3"/>
  <c r="D30" i="3"/>
  <c r="E29" i="3"/>
  <c r="D29" i="3"/>
  <c r="E28" i="3"/>
  <c r="D28" i="3"/>
  <c r="E27" i="3"/>
  <c r="D27" i="3"/>
  <c r="E26" i="3"/>
  <c r="D26" i="3"/>
  <c r="E25" i="3"/>
  <c r="D25" i="3"/>
  <c r="E24" i="3"/>
  <c r="D24" i="3"/>
  <c r="E23" i="3"/>
  <c r="D23" i="3"/>
  <c r="E22" i="3"/>
  <c r="D22" i="3"/>
  <c r="E21" i="3"/>
  <c r="D21" i="3"/>
  <c r="E20" i="3"/>
  <c r="D20" i="3"/>
  <c r="E19" i="3"/>
  <c r="D19" i="3"/>
  <c r="E18" i="3"/>
  <c r="D18" i="3"/>
  <c r="E17" i="3"/>
  <c r="D17" i="3"/>
  <c r="E16" i="3"/>
  <c r="D16" i="3"/>
  <c r="E15" i="3"/>
  <c r="D15" i="3"/>
  <c r="E14" i="3"/>
  <c r="D14" i="3"/>
  <c r="E13" i="3"/>
  <c r="D13" i="3"/>
  <c r="E12" i="3"/>
  <c r="D12" i="3"/>
  <c r="E11" i="3"/>
  <c r="D11" i="3"/>
  <c r="E10" i="3"/>
  <c r="D10" i="3"/>
  <c r="E9" i="3"/>
  <c r="D9" i="3"/>
  <c r="E8" i="3"/>
  <c r="D8" i="3"/>
  <c r="E7" i="3"/>
  <c r="D7" i="3"/>
</calcChain>
</file>

<file path=xl/sharedStrings.xml><?xml version="1.0" encoding="utf-8"?>
<sst xmlns="http://schemas.openxmlformats.org/spreadsheetml/2006/main" count="2529" uniqueCount="614">
  <si>
    <t>自主点検  提出物チェックリスト</t>
  </si>
  <si>
    <t>■ 会社名: ________________________    ■ 実施期: ______________    ■ サイクル (年度末 / 四半期): __________    ■ 記入者: ________________________</t>
  </si>
  <si>
    <t>【凡例】  ☑提出 → □ を記入   /   対象外・未実施 → 「該当なし」に □ 記入し、理由を記述のうえ提出可。全行チェックは必須ではありません。</t>
  </si>
  <si>
    <t>No</t>
  </si>
  <si>
    <t>項目No</t>
  </si>
  <si>
    <t>点検項目名</t>
  </si>
  <si>
    <t>提出物名</t>
  </si>
  <si>
    <t>提出物詳細</t>
  </si>
  <si>
    <t>区分</t>
  </si>
  <si>
    <t>提出区分</t>
  </si>
  <si>
    <t>適用の目安
（条件付き・代替・排他の場合）</t>
  </si>
  <si>
    <t>年度末</t>
  </si>
  <si>
    <t>四半期</t>
  </si>
  <si>
    <t>☑提出</t>
  </si>
  <si>
    <t>該当なし</t>
  </si>
  <si>
    <t>非該当・未提出の理由</t>
  </si>
  <si>
    <t>格納先フォルダパス</t>
  </si>
  <si>
    <t>一次ソース</t>
  </si>
  <si>
    <t>備考</t>
  </si>
  <si>
    <t>売掛金の残高確認</t>
  </si>
  <si>
    <t>残高確認状の回収結果・差異調整結果</t>
  </si>
  <si>
    <t>①成果物本体</t>
  </si>
  <si>
    <t>必須</t>
  </si>
  <si>
    <t>○</t>
  </si>
  <si>
    <t>□</t>
  </si>
  <si>
    <t>01_残高確認状 / 債権残高確認&gt;会社提出資料</t>
  </si>
  <si>
    <t>input/03_自主点検成果物_ファイルリスト.xlsx（147社・2026年3月期実績）</t>
  </si>
  <si>
    <t>実態: 82% (120/147社)</t>
  </si>
  <si>
    <t>代替手続実施結果</t>
  </si>
  <si>
    <t>代替手続チェックリスト・入金消込管理表の検証資料</t>
  </si>
  <si>
    <t>条件付き</t>
  </si>
  <si>
    <t>確認状を回収できない/発送しない相手先(個人・官公庁等)がある場合</t>
  </si>
  <si>
    <t>追加サンプリング結果</t>
  </si>
  <si>
    <t>②根拠資料</t>
  </si>
  <si>
    <t>2026年6月以降入金予定の3月末売掛金残高が閾値以上</t>
  </si>
  <si>
    <t>売掛金明細</t>
  </si>
  <si>
    <t>2026年3月末</t>
  </si>
  <si>
    <t>③共通添付</t>
  </si>
  <si>
    <t>試算表＋連結PKGまでの調整</t>
  </si>
  <si>
    <t>3月末</t>
  </si>
  <si>
    <t>在庫の実地棚卸</t>
  </si>
  <si>
    <t>実地棚卸の結果</t>
  </si>
  <si>
    <t>別途ガイダンスに従い提出</t>
  </si>
  <si>
    <t>02_在庫の実地棚卸</t>
  </si>
  <si>
    <t>実態: 6% (9/147社)</t>
  </si>
  <si>
    <t>預り売上に関する親会社への情報・検討内容</t>
  </si>
  <si>
    <t>預り売上(請求済未出荷)を計上している場合(原則禁止)</t>
  </si>
  <si>
    <t>固定資産の実査</t>
  </si>
  <si>
    <t>固定資産実査報告書</t>
  </si>
  <si>
    <t>確定版:エクセル＋部署長検印済PDF</t>
  </si>
  <si>
    <t>03_固定資産実査(現場はFORMS)</t>
  </si>
  <si>
    <t>実態: 63% (93/147社)</t>
  </si>
  <si>
    <t>現物照合の写真</t>
  </si>
  <si>
    <t>代替証跡</t>
  </si>
  <si>
    <t>登記簿・リース契約書・使用実績資料等</t>
  </si>
  <si>
    <t>代替</t>
  </si>
  <si>
    <t>現物カウントが困難な資産がある場合</t>
  </si>
  <si>
    <t>固定資産訂正仕訳が必要な資産の報告書</t>
  </si>
  <si>
    <t>現物照合で訂正(除却漏れ・資産性等)が発覚した場合</t>
  </si>
  <si>
    <t>修正仕訳のエビデンス</t>
  </si>
  <si>
    <t>Proplusモニターシート・Biz∫仕訳</t>
  </si>
  <si>
    <t>修正仕訳を起票した場合</t>
  </si>
  <si>
    <t>独立立会人による実査立会結果</t>
  </si>
  <si>
    <t>第2線立会対象(規模条件)</t>
  </si>
  <si>
    <t>滞留債権の分析</t>
  </si>
  <si>
    <t>期末滞留債権一覧</t>
  </si>
  <si>
    <t>回収遅延理由・最新回収予定日</t>
  </si>
  <si>
    <t>04_滞留債権</t>
  </si>
  <si>
    <t>実態: 77% (113/147社)</t>
  </si>
  <si>
    <t>売掛金明細・試算表の一致</t>
  </si>
  <si>
    <t>データソース・抽出条件</t>
  </si>
  <si>
    <t>回収遅延理由の承認証跡</t>
  </si>
  <si>
    <t>部門責任者等の承認(チェックリスト承認で代替可)</t>
  </si>
  <si>
    <t>外部証憑</t>
  </si>
  <si>
    <t>契約書・注文書・納品書 等</t>
  </si>
  <si>
    <t>回収遅延理由が合理的でない債権がある場合</t>
  </si>
  <si>
    <t>異常取引の分析</t>
  </si>
  <si>
    <t>年間取引データ</t>
  </si>
  <si>
    <t>取引先別・案件別ソート,マイナス理由記載</t>
  </si>
  <si>
    <t>05_売上マイナスデータ・取消仕訳</t>
  </si>
  <si>
    <t>翌期4月分の二次提出データ</t>
  </si>
  <si>
    <t>全明細と試算表の一致</t>
  </si>
  <si>
    <t>マイナス取引の根拠資料</t>
  </si>
  <si>
    <t>①計上妥当②取消妥当</t>
  </si>
  <si>
    <t>2次レビューで確認が必要な取引</t>
  </si>
  <si>
    <t>売上の期末変動分析</t>
  </si>
  <si>
    <t>月次の売上・粗利推移データ</t>
  </si>
  <si>
    <t>グラフ・増減分析コメント</t>
  </si>
  <si>
    <t>06_売上・粗利月次推移分析</t>
  </si>
  <si>
    <t>実態: 83% (122/147社)</t>
  </si>
  <si>
    <t>試算表との一致</t>
  </si>
  <si>
    <t>増減要因の根拠証憑</t>
  </si>
  <si>
    <t>四半期末月に上昇傾向・重要変動がある場合</t>
  </si>
  <si>
    <t>収益認識アンケート（証憑提出含む）</t>
  </si>
  <si>
    <t>収益認識アンケート回答</t>
  </si>
  <si>
    <t>SPファイル直接更新/メール返信</t>
  </si>
  <si>
    <t>07_収益認識アンケート(SP直接更新/メール)</t>
  </si>
  <si>
    <t>実態: 93% (137/147社)</t>
  </si>
  <si>
    <t>契約書PDF</t>
  </si>
  <si>
    <t>取引基本契約書等</t>
  </si>
  <si>
    <t>年間売上金額が閾値以上の取引(半期提出済は再提出不要)</t>
  </si>
  <si>
    <t>当期の売上明細データ</t>
  </si>
  <si>
    <t>試算表との一致を事前確認</t>
  </si>
  <si>
    <t>売上のカットオフテスト</t>
  </si>
  <si>
    <t>売上明細データ</t>
  </si>
  <si>
    <t>検証結果コメント付</t>
  </si>
  <si>
    <t>08_売上明細データ</t>
  </si>
  <si>
    <t>実態: 73% (107/147社)</t>
  </si>
  <si>
    <t>3月単月の試算表一致</t>
  </si>
  <si>
    <t>収益認識の根拠資料</t>
  </si>
  <si>
    <t>一定金額以上の取引に限る</t>
  </si>
  <si>
    <t>長期請負工事案件の洗い出し</t>
  </si>
  <si>
    <t>進行基準適用案件リスト</t>
  </si>
  <si>
    <t>履行義務毎の判断根拠</t>
  </si>
  <si>
    <t>09_工事案件の収益認識会計基準あてはめ</t>
  </si>
  <si>
    <t>実態: 8% (12/147社)</t>
  </si>
  <si>
    <t>PKG進行基準売上との一致</t>
  </si>
  <si>
    <t>契約書</t>
  </si>
  <si>
    <t>請負高5億円超の案件</t>
  </si>
  <si>
    <t>請負高が閾値超の案件(No.7で提出済を確認)</t>
  </si>
  <si>
    <t>実行予算の取得・確認</t>
  </si>
  <si>
    <t>進行基準適用案件毎の実行予算 月次推移</t>
  </si>
  <si>
    <t>グラフ・増減コメント</t>
  </si>
  <si>
    <t>10_工事案件実効予算分析</t>
  </si>
  <si>
    <t>実態: 8% (11/147社)</t>
  </si>
  <si>
    <t>No.9リストとの整合</t>
  </si>
  <si>
    <t>材料費の実際発生原価の確認</t>
  </si>
  <si>
    <t>原材料購買データと入庫データの月次比較表</t>
  </si>
  <si>
    <t>11_工事案件購買・原材料入出庫分析</t>
  </si>
  <si>
    <t>工事案件原価明細と出庫データの紐づけ</t>
  </si>
  <si>
    <t>案件毎シート</t>
  </si>
  <si>
    <t>差異取引の外部根拠証憑</t>
  </si>
  <si>
    <t>入出庫と整合しない購買・原価明細がある場合</t>
  </si>
  <si>
    <t>進捗率の算定根拠の確認</t>
  </si>
  <si>
    <t>進行基準適用案件毎の進捗率 月次推移表</t>
  </si>
  <si>
    <t>要因コメント</t>
  </si>
  <si>
    <t>12_工事案件進捗率分析</t>
  </si>
  <si>
    <t>進捗率の算定根拠資料</t>
  </si>
  <si>
    <t>実行予算書・原価明細</t>
  </si>
  <si>
    <t>No.9整合</t>
  </si>
  <si>
    <t>経費の実際発生原価の確認</t>
  </si>
  <si>
    <t>滞留未成工事支出金一覧</t>
  </si>
  <si>
    <t>滞留要因・初回原価発生日・振替予定日</t>
  </si>
  <si>
    <t>13_未成工事支出金滞留チェック</t>
  </si>
  <si>
    <t>実態: 9% (13/147社)</t>
  </si>
  <si>
    <t>滞留要因の根拠証憑</t>
  </si>
  <si>
    <t>2次レビューで必要に応じ依頼</t>
  </si>
  <si>
    <t>原価振替取引の要因説明</t>
  </si>
  <si>
    <t>案件毎原価明細のマイナス取引と取消・振替理由</t>
  </si>
  <si>
    <t>14_個別原価計算適用原価振替取引要因説明</t>
  </si>
  <si>
    <t>データソース・抽出基準/手順</t>
  </si>
  <si>
    <t>発生原価合計との一致</t>
  </si>
  <si>
    <t>原価マイナス取引の根拠証憑</t>
  </si>
  <si>
    <t>承認証跡含む</t>
  </si>
  <si>
    <t>請負高が閾値以上の案件</t>
  </si>
  <si>
    <t>低粗利案件の分析</t>
  </si>
  <si>
    <t>案件毎の利益率 月次推移表</t>
  </si>
  <si>
    <t>全案件</t>
  </si>
  <si>
    <t>15_個別原価計算適用粗利率分析</t>
  </si>
  <si>
    <t>実態: 10% (14/147社)</t>
  </si>
  <si>
    <t>原価振替有無の調査結果と根拠資料</t>
  </si>
  <si>
    <t>請負高1億円以上＆利益率5%以下＆一定期間変動なしの案件</t>
  </si>
  <si>
    <t>No.14原価明細との整合</t>
  </si>
  <si>
    <t>社内/会社間取引の価格設定の妥当性チェック</t>
  </si>
  <si>
    <t>価格設定の妥当性確認資料</t>
  </si>
  <si>
    <t>親会社が別途指定(個別ルール)</t>
  </si>
  <si>
    <t>16_社内・関係間取引価格設定の妥当性</t>
  </si>
  <si>
    <t>実態: 2% (3/147社)</t>
  </si>
  <si>
    <t>費用振替取引の要因説明</t>
  </si>
  <si>
    <t>費用振替の承認者・理由の記録</t>
  </si>
  <si>
    <t>17_費用振替取引要因説明</t>
  </si>
  <si>
    <t>各費用月次推移分析</t>
  </si>
  <si>
    <t>販管費の月次推移データ</t>
  </si>
  <si>
    <t>グラフ・期末月増加の分析コメント</t>
  </si>
  <si>
    <t>18_各費用月次推移分析</t>
  </si>
  <si>
    <t>実態: 81% (119/147社)</t>
  </si>
  <si>
    <t>著しい増加の根拠資料</t>
  </si>
  <si>
    <t>期末月に著しい増加がある場合</t>
  </si>
  <si>
    <t>翌期取引の確認</t>
  </si>
  <si>
    <t>翌期4月計上仕訳データ一覧</t>
  </si>
  <si>
    <t>3月計上すべき費用の顛末</t>
  </si>
  <si>
    <t>19_費用計上すべき請求書有無</t>
  </si>
  <si>
    <t>3月分として計上すべき費用の根拠資料</t>
  </si>
  <si>
    <t>当期3月計上すべき費用が見つかった場合</t>
  </si>
  <si>
    <t>非経常的取引の識別と説明</t>
  </si>
  <si>
    <t>管理部門が各部署から情報収集したことが分かる資料</t>
  </si>
  <si>
    <t>メール・アンケート</t>
  </si>
  <si>
    <t>20_非経常的な事象</t>
  </si>
  <si>
    <t>実態: 78% (114/147社)</t>
  </si>
  <si>
    <t>収集情報を基に会計処理を検討したことが分かる資料</t>
  </si>
  <si>
    <t>非経常的な取引・事象がある場合</t>
  </si>
  <si>
    <t>見積計上費用：計上根拠</t>
  </si>
  <si>
    <t>当期3月の見積計上費用リスト</t>
  </si>
  <si>
    <t>会計処理の顛末</t>
  </si>
  <si>
    <t>21_見積計上費用計上根拠整理</t>
  </si>
  <si>
    <t>実態: 76% (112/147社)</t>
  </si>
  <si>
    <t>見積根拠資料</t>
  </si>
  <si>
    <t>契約書・正式見積書・検針データ等</t>
  </si>
  <si>
    <t>データソース・網羅性の確認</t>
  </si>
  <si>
    <t>固定資産除却損の計上確認</t>
  </si>
  <si>
    <t>総勘定元帳から抽出した当期の除却取引</t>
  </si>
  <si>
    <t>コメント付</t>
  </si>
  <si>
    <t>22_固定資産除去取引</t>
  </si>
  <si>
    <t>実態: 71% (104/147社)</t>
  </si>
  <si>
    <t>データソース／試算表との一致</t>
  </si>
  <si>
    <t>総勘定元帳</t>
  </si>
  <si>
    <t>除却の根拠資料</t>
  </si>
  <si>
    <t>除却申請書・廃棄証明書 等</t>
  </si>
  <si>
    <t>固定資産の資産性確認</t>
  </si>
  <si>
    <t>固定資産台帳でフラグ付けした明細＋資産計上妥当性コメント</t>
  </si>
  <si>
    <t>23_修繕費・研究費資産計上項目</t>
  </si>
  <si>
    <t>台帳簿価と試算表の一致</t>
  </si>
  <si>
    <t>資産計上の根拠資料</t>
  </si>
  <si>
    <t>見積書・仕様書・請求書・稟議書</t>
  </si>
  <si>
    <t>資産除去債務の計上要否の判断を証憑に基づいて整理（証憑提出含む）</t>
  </si>
  <si>
    <t>「資産除去債務に関するアンケート」回答済みエクセル</t>
  </si>
  <si>
    <t>24_資産除去債務(メール:連結管理チーム)</t>
  </si>
  <si>
    <t>実態: 3% (4/147社)</t>
  </si>
  <si>
    <t>アンケートに記載の必要資料</t>
  </si>
  <si>
    <t>該当固定資産を保有(質問Ⅰ・Ⅱに該当)する場合</t>
  </si>
  <si>
    <t>減損テスト</t>
  </si>
  <si>
    <t>各CGUの減損判定資料</t>
  </si>
  <si>
    <t>25_減損判定資料</t>
  </si>
  <si>
    <t>実態: 69% (101/147社)</t>
  </si>
  <si>
    <t>割引前・割引後 将来CF算定資料</t>
  </si>
  <si>
    <t>減損の兆候に抵触したCGUがある場合(IFRS含め検討)</t>
  </si>
  <si>
    <t>固定資産領域の内部統制・減損処理アンケート</t>
  </si>
  <si>
    <t>フォーム回答</t>
  </si>
  <si>
    <t>データソース</t>
  </si>
  <si>
    <t>CGU営業損益と全社TBの一致</t>
  </si>
  <si>
    <t>賞与引当金の計上確認</t>
  </si>
  <si>
    <t>計上根拠資料</t>
  </si>
  <si>
    <t>繰入額の計算根拠</t>
  </si>
  <si>
    <t>排他</t>
  </si>
  <si>
    <t>賞与引当金を計上している場合</t>
  </si>
  <si>
    <t>26_賞与引当金</t>
  </si>
  <si>
    <t>実態: 71% (105/147社)</t>
  </si>
  <si>
    <t>取崩時の支払証跡＋当初計上額と支払額の比較分析</t>
  </si>
  <si>
    <t>計上・取崩がある場合</t>
  </si>
  <si>
    <t>計上不要とした理由コメント</t>
  </si>
  <si>
    <t>賞与引当金を計上していない場合</t>
  </si>
  <si>
    <t>月次推移表／繰入額・残高と試算表の一致</t>
  </si>
  <si>
    <t>PL</t>
  </si>
  <si>
    <t>自主点検チェックリスト</t>
  </si>
  <si>
    <t>No.1〜26の自己評価</t>
  </si>
  <si>
    <t>27_自主点検チェックリスト</t>
  </si>
  <si>
    <t>実態: 37% (54/147社)</t>
  </si>
  <si>
    <t>財務分析</t>
  </si>
  <si>
    <t>連結PKG上の増減分析</t>
  </si>
  <si>
    <t>28_財務分析</t>
  </si>
  <si>
    <t>個社別の財務分析用ファイル</t>
  </si>
  <si>
    <t>個社別財務分析の対象会社</t>
  </si>
  <si>
    <t>自主点検  チェックポイント確認リスト</t>
  </si>
  <si>
    <t>CP_ID</t>
  </si>
  <si>
    <t>チェックポイント内容</t>
  </si>
  <si>
    <t>☑確認</t>
  </si>
  <si>
    <t>非該当・未確認の理由</t>
  </si>
  <si>
    <t>過去の差し戻し注意
（頻出パターン）</t>
  </si>
  <si>
    <t>01-001</t>
  </si>
  <si>
    <t>データソースと抽出条件（手順）の記録が成果物として提出されている</t>
  </si>
  <si>
    <t>統合マスタ v1（内製作成 2026.6）</t>
  </si>
  <si>
    <t>01-002</t>
  </si>
  <si>
    <t>網羅性が確認できる情報が記載又は提出されている（売掛金残高明細と試算表BSの一致が確認できる）</t>
  </si>
  <si>
    <t>01-003</t>
  </si>
  <si>
    <t>残高確認状の発送先一覧と回収結果が提出されている（確認状未発送先・未回収先の区分が明確になっている）</t>
  </si>
  <si>
    <t>01-004</t>
  </si>
  <si>
    <t>確認状を回収できなかった相手先について代替手続（入金消込チェックリスト・追加サンプリング等）の実施結果が提出されている</t>
  </si>
  <si>
    <t>01-005</t>
  </si>
  <si>
    <t>担当者の確認結果に対し上席者（部門責任者等）のレビュー証跡がある</t>
  </si>
  <si>
    <t>01-006</t>
  </si>
  <si>
    <t>差異調整の内容が合理的であり、未入金残高の回収見込みが具体的に説明されている</t>
  </si>
  <si>
    <t>01-007</t>
  </si>
  <si>
    <t>代替手続に使用した証憑（注文書・請求書・入金確認等）が適切な外部証憑である（内部帳票のみでの確認は不可）</t>
  </si>
  <si>
    <t>02-001</t>
  </si>
  <si>
    <t>02-002</t>
  </si>
  <si>
    <t>網羅性が確認できる情報が記載又は提出されている（棚卸残高と試算表の一致が確認できる）</t>
  </si>
  <si>
    <t>02-003</t>
  </si>
  <si>
    <t>棚卸実施記録（実施日・実施者・対象品目・数量・差異）が提出されている</t>
  </si>
  <si>
    <t>02-004</t>
  </si>
  <si>
    <t>棚卸差異（帳簿残高との差異）の調整内容と理由が記録されている</t>
  </si>
  <si>
    <t>02-005</t>
  </si>
  <si>
    <t>在庫評価損の計上要否を検討した記録がある（低価法適用対象の確認含む）</t>
  </si>
  <si>
    <t>02-006</t>
  </si>
  <si>
    <t>未出荷取引による売上（預り売上）を計上していないこと、または計上している場合は親会社に提出し会計監査人と協議済みであることを確認している</t>
  </si>
  <si>
    <t>03-001</t>
  </si>
  <si>
    <t>03-002</t>
  </si>
  <si>
    <t>固定資産台帳残高と試算表残高の一致が確認できる資料が提出されている</t>
  </si>
  <si>
    <t>03-003</t>
  </si>
  <si>
    <t>現物確認時の証跡（写真またはロケーション確認記録）が提出されている（写真ファイル名＝資産番号10桁＋枝番3桁ゼロ埋め）</t>
  </si>
  <si>
    <t>03-004</t>
  </si>
  <si>
    <t>実査で不存在・遊休・費用化対象となった資産の内容が実査報告書に記載されている（訂正事項なしの場合もその旨を記載）</t>
  </si>
  <si>
    <t>03-005</t>
  </si>
  <si>
    <t>現物確認が困難な資産（建物・土地・リース等）について代替手続（登記簿・リース契約書等）の記録がある</t>
  </si>
  <si>
    <t>03-006</t>
  </si>
  <si>
    <t>代替手続の証跡が適切な外部資料である（登記簿謄本・固定資産税課税明細・リース契約書等）</t>
  </si>
  <si>
    <t>03-007</t>
  </si>
  <si>
    <t>実査結果に基づく訂正仕訳の会計処理が適切に行われている（費用化・除却損等の処理が証憑と整合）</t>
  </si>
  <si>
    <t>03-008</t>
  </si>
  <si>
    <t>第2線立会対象拠点（有形固定資産期末残高1億円以上の拠点）では管理部門担当者の立会証跡が残っている</t>
  </si>
  <si>
    <t>04-001</t>
  </si>
  <si>
    <t>計199件指摘  ▶網羅性・試算表不一致(100件): 例)「・網羅性が確認できる資料（試算表との一致確認）の送付をお願いします…」  ▶根拠資料不足(45件): 例)「・自己点検説明資料に記載の金額と試算表の一致がわかる資料の送付をお願いします…」</t>
  </si>
  <si>
    <t>レビュー指針 No.4（input/自主点検_レビュー指針.xlsx）</t>
  </si>
  <si>
    <t>04-002</t>
  </si>
  <si>
    <t>網羅性が確認できる情報が記載又は提出されている（試算表との一致が確認できる）</t>
  </si>
  <si>
    <t>04-003</t>
  </si>
  <si>
    <t>回収が遅延している債権全てにつき、回収遅延理由が記載されている</t>
  </si>
  <si>
    <t>04-004</t>
  </si>
  <si>
    <t>回収遅延理由について、部門責任者等の適切な承認者の承認を得ている</t>
  </si>
  <si>
    <t>04-005</t>
  </si>
  <si>
    <t>回収遅延理由が合理的である</t>
  </si>
  <si>
    <t>04-006</t>
  </si>
  <si>
    <t>回収遅延理由が合理的でない場合、売上計上の妥当性に関するコメントが記載されている</t>
  </si>
  <si>
    <t>04-007</t>
  </si>
  <si>
    <t>注文書などの外部証憑を確認したうえで、適切に売上計上の妥当性をコメントできている</t>
  </si>
  <si>
    <t>05-001</t>
  </si>
  <si>
    <t>計350件指摘  ▶網羅性・試算表不一致(182件): 例)「・網羅性及び売上伝票/明細と試算表の整合性を確認するため、25年4月~26年3月の全ての売上明細（マイナス含む）の提出をお願い出来ますでしょうか ・マイナスの売…」  ▶根拠資料不足(97件): 例)「下記、売上マイナス仕訳の根拠証憑のご提示をお願いいたします。 ・計上日：20260331 仕訳検索テキスト：022502903161　売上額：△26,759,0…」</t>
  </si>
  <si>
    <t>レビュー指針 No.5（input/自主点検_レビュー指針.xlsx）</t>
  </si>
  <si>
    <t>05-002</t>
  </si>
  <si>
    <t>25年4月~26年3月の全ての売上明細（マイナス含む）が提出されている（試算表との一致が確認できる）</t>
  </si>
  <si>
    <t>05-003</t>
  </si>
  <si>
    <t>マイナスの売上がある場合、売上計上の妥当性（収益認識基準を満たしているか）を検討したコメントが残されている</t>
  </si>
  <si>
    <t>05-004</t>
  </si>
  <si>
    <t>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t>
  </si>
  <si>
    <t>05-005</t>
  </si>
  <si>
    <t>収益認識基準を満たさない売上計上の場合は、会計処理の顛末が記載されている</t>
  </si>
  <si>
    <t>06-001</t>
  </si>
  <si>
    <t>計199件指摘  ▶網羅性・試算表不一致(95件): 例)「・データソース及び抽出条件が分かる資料（画面コピーなど）の送付をお願いします ・網羅性が確認できる資料（試算表との一致確認）の送付をお願いします…」  ▶根拠資料不足(51件): 例)「・データソース及び抽出条件が分かる資料（画面コピーなど）の提出してください ・網羅性が確認できる資料（試算表との一致確認）の提出してください ・特に四半期末月に…」</t>
  </si>
  <si>
    <t>レビュー指針 No.6（input/自主点検_レビュー指針.xlsx）</t>
  </si>
  <si>
    <t>06-002</t>
  </si>
  <si>
    <t>06-003</t>
  </si>
  <si>
    <t>前年同期・前月比較ともに、10百万円の変動、かつ、20%以上の変動がある場合、増減コメントがされている</t>
  </si>
  <si>
    <t>06-004</t>
  </si>
  <si>
    <t>増減分析コメントにて、要因毎の影響金額を記載している（最低限、6割～7割程度）</t>
  </si>
  <si>
    <t>06-005</t>
  </si>
  <si>
    <t>特に四半期末月に上昇傾向があった場合に、根拠資料に基づいて売上計上の妥当性を検証している。また、検証した旨がコメントされている。</t>
  </si>
  <si>
    <t>06-006</t>
  </si>
  <si>
    <t>増減分析コメントにて、増減内容の説明になっている</t>
  </si>
  <si>
    <t>06-007</t>
  </si>
  <si>
    <t>増減分析コメントにて、金額推移と整合した説明になっている</t>
  </si>
  <si>
    <t>06-008</t>
  </si>
  <si>
    <t>前年同期・前月比較ともに、10百万円の変動、かつ、20%以上の変動がある場合、増減コメントがされている
特に四半期末月に上昇傾向があった場合に、増減分析コメントにて、要因を記載している</t>
  </si>
  <si>
    <t>07-001</t>
  </si>
  <si>
    <t>07-002</t>
  </si>
  <si>
    <t>網羅性が確認できる情報が記載又は提出されている（売上明細データと試算表PLの一致が事前確認されている）</t>
  </si>
  <si>
    <t>07-003</t>
  </si>
  <si>
    <t>アンケートの全4セクション（概要整理・商流図・チェックシート・PL金額）が記入・提出されている</t>
  </si>
  <si>
    <t>07-004</t>
  </si>
  <si>
    <t>年間売上金額1億円以上の取引がすべて記載されている（1億円未満のみの場合はその旨が明記されている）</t>
  </si>
  <si>
    <t>07-005</t>
  </si>
  <si>
    <t>年間売上金額5億円以上の取引について取引基本契約書（PDF）が提出されている</t>
  </si>
  <si>
    <t>07-006</t>
  </si>
  <si>
    <t>売上計上基準（出荷/着荷/検収等）がチェックシートに記載され実態と整合している</t>
  </si>
  <si>
    <t>07-007</t>
  </si>
  <si>
    <t>代理人取引・スルー取引・二重売上リスク・預かり在庫に関する確認事項がチェックシートに回答されている</t>
  </si>
  <si>
    <t>08-001</t>
  </si>
  <si>
    <t>計285件指摘  ▶根拠資料不足(156件): 例)「・1,000万円以上の売上の根拠として契約書を提出いただいておりますが単価のみの記載のため請求額の根拠資料となる数量が分かる資料の送付をお願いします…」  ▶網羅性・試算表不一致(73件): 例)「・データソース及び抽出条件が分かる資料（画面コピーなど）の提出してください ・網羅性が確認できる資料（試算表との一致確認）の提出してください…」</t>
  </si>
  <si>
    <t>レビュー指針 No.8（input/自主点検_レビュー指針.xlsx）</t>
  </si>
  <si>
    <t>08-002</t>
  </si>
  <si>
    <t>26年3月単月の全ての売上明細が提出されている（試算表との一致が確認できる）</t>
  </si>
  <si>
    <t>08-003</t>
  </si>
  <si>
    <t>全ての明細に対して売上計上の妥当性（収益認識基準を満たしているか）を検討したコメントが残されている</t>
  </si>
  <si>
    <t>08-004</t>
  </si>
  <si>
    <t>1,000万円以上の取引について、根拠資料が提出されている</t>
  </si>
  <si>
    <t>08-005</t>
  </si>
  <si>
    <t>根拠資料は第三者により作成または承認されたものである</t>
  </si>
  <si>
    <t>08-006</t>
  </si>
  <si>
    <t>収益認識基準を満たした売上計上である（根拠資料により、製品・サービス、数量が確認できる）</t>
  </si>
  <si>
    <t>08-007</t>
  </si>
  <si>
    <t>収益認識基準を満たした売上計上である（根拠資料により、売上計上日の妥当性が確認できる）</t>
  </si>
  <si>
    <t>08-008</t>
  </si>
  <si>
    <t>収益認識基準を満たさない売上計上の場合は、売上計上の可否を検討し、会計処理の顛末が記載されている</t>
  </si>
  <si>
    <t>09-001</t>
  </si>
  <si>
    <t>計22件指摘  ▶網羅性・試算表不一致(11件): 例)「・網羅性を確認できる資料（試算表等）の提出をお願い出来ますでしょうか。…」  ▶その他(6件): 例)「工事進行基準取り崩し_MARUWAのExcelファイルが見当たりませんでした…」</t>
  </si>
  <si>
    <t>レビュー指針 No.9（input/自主点検_レビュー指針.xlsx）</t>
  </si>
  <si>
    <t>09-002</t>
  </si>
  <si>
    <t>網羅性が確認できる情報が記載又は提出されている（例：PKGの進行基準売上との一致）</t>
  </si>
  <si>
    <t>09-003</t>
  </si>
  <si>
    <t>全ての取引について進行基準の適用可否に関する判断根拠が記載されている</t>
  </si>
  <si>
    <t>09-004</t>
  </si>
  <si>
    <t>判断根拠が会計基準の要求事項に沿う内容になっている</t>
  </si>
  <si>
    <t>09-005</t>
  </si>
  <si>
    <t>会社の判断根拠によれば、一定期間にわたって収益を認識することが妥当である</t>
  </si>
  <si>
    <t>09-006</t>
  </si>
  <si>
    <t>請負高が5億円を超える工事案件は、会社の判断根拠の適切性を確認する</t>
  </si>
  <si>
    <t>10-001</t>
  </si>
  <si>
    <t>計19件指摘  ▶網羅性・試算表不一致(8件): 例)「・データソース及び抽出条件が分かる資料（画面コピーなど）の送付をお願いします ・網羅性を確認できる資料（試算表等）の提出をお願い出来ますでしょうか。そのうえで、…」  ▶根拠資料不足(8件): 例)「・各工事案件の月ごとの実行予算について、提出いただいた成果物と試算表などの根拠資料等もしくは提出成果物とNo.9の整合を確認して頂き、その旨を提出物内で記載して…」</t>
  </si>
  <si>
    <t>レビュー指針 No.10（input/自主点検_レビュー指針.xlsx）</t>
  </si>
  <si>
    <t>10-002</t>
  </si>
  <si>
    <t>網羅性が確認できる情報が記載又は提出されている（試算表との一致を確認できる）</t>
  </si>
  <si>
    <t>10-003</t>
  </si>
  <si>
    <t>実行予算に著増減がある場合、コメントを記載している</t>
  </si>
  <si>
    <t>10-004</t>
  </si>
  <si>
    <t>増減コメントが変動要因の説明になっている</t>
  </si>
  <si>
    <t>10-005</t>
  </si>
  <si>
    <t>増減コメントにより、予算の信頼性が低いと判断される場合、進行基準の適用可否を検討できている</t>
  </si>
  <si>
    <t>11-001</t>
  </si>
  <si>
    <t>計17件指摘  ▶網羅性・試算表不一致(9件): 例)「・データソース及び抽出条件が分かる資料（画面コピーなど）の送付をお願いします ・網羅性を確認できる資料（試算表等）の提出をお願い出来ますでしょうか。そのうえで、…」  ▶根拠資料不足(6件): 例)「・原材料購買データと原材料入庫データの月次比較表、工事案件の原価明細をベースにどの原材料出庫データと紐づくかを記載した資料のご送付をお願いします（※詳細は№11…」</t>
  </si>
  <si>
    <t>レビュー指針 No.11（input/自主点検_レビュー指針.xlsx）</t>
  </si>
  <si>
    <t>11-002</t>
  </si>
  <si>
    <t>11-003</t>
  </si>
  <si>
    <t>購買データ、入出庫データ、原価明細を比較し整合性を確認できている</t>
  </si>
  <si>
    <t>11-004</t>
  </si>
  <si>
    <t>差異のある取引について、差異要因がコメントされている</t>
  </si>
  <si>
    <t>11-005</t>
  </si>
  <si>
    <t>差異要因のコメントが合理的である</t>
  </si>
  <si>
    <t>12-001</t>
  </si>
  <si>
    <t>計22件指摘  ▶網羅性・試算表不一致(12件): 例)「・データソース及び抽出条件が分かる資料（画面コピーなど）の送付をお願いします ・提出物の整合性を確認するため、No9.にて各月ごとの進捗具合を記載して頂けないで…」  ▶その他(6件): 例)「Entity：PP ・No12のPPファイルによると、「Summary」シートにある案件が必ずしも「STT」シートなどの別のシートで検討しているわけではないよう…」</t>
  </si>
  <si>
    <t>レビュー指針 No.12（input/自主点検_レビュー指針.xlsx）</t>
  </si>
  <si>
    <t>12-002</t>
  </si>
  <si>
    <t>12-003</t>
  </si>
  <si>
    <t>案件ごとに進捗率を月次に並べて推移分析ができている</t>
  </si>
  <si>
    <t>12-004</t>
  </si>
  <si>
    <t>著しい進捗や進捗率のマイナス理由がコメントできている</t>
  </si>
  <si>
    <t>12-005</t>
  </si>
  <si>
    <t>進捗率の算定根拠資料が提出されている</t>
  </si>
  <si>
    <t>12-006</t>
  </si>
  <si>
    <t>著しい進捗や進捗率のマイナス理由が合理的である</t>
  </si>
  <si>
    <t>12-007</t>
  </si>
  <si>
    <t>進捗率が算定根拠資料に基づいて適切に算定されている</t>
  </si>
  <si>
    <t>13-001</t>
  </si>
  <si>
    <t>計14件指摘  ▶網羅性・試算表不一致(9件): 例)「・データソース及び抽出条件が分かる資料（画面コピーなど）の送付をお願いします ・提出物の整合性を確認するため、網羅性が確認できる資料（試算表等）の送付をお願いし…」  ▶根拠資料不足(4件): 例)「・根拠資料/元データから成果物に至るまでの抽出手順及び条件が分かる資料をいただけますでしょうか（画面コピー等。「該当なし」の確認のため） ・網羅性が確認できる資…」</t>
  </si>
  <si>
    <t>レビュー指針 No.13（input/自主点検_レビュー指針.xlsx）</t>
  </si>
  <si>
    <t>13-002</t>
  </si>
  <si>
    <t>13-003</t>
  </si>
  <si>
    <t>1年以上滞留している未成工事支出金を一覧化し、滞留要因、初回原価発生日、売上原価への振替予定日が記載されている</t>
  </si>
  <si>
    <t>13-004</t>
  </si>
  <si>
    <t>滞留要因が合理的である</t>
  </si>
  <si>
    <t>14-001</t>
  </si>
  <si>
    <t>計20件指摘  ▶根拠資料不足(7件): 例)「・マイナス取引が網羅的に出力されていることを振替リストや各案件タブにてどのように確認すれば良いかご教示ください ・振替リストや製番原価明細のデータソースと抽出条…」  ▶その他(5件): 例)「・データソース及び抽出条件が分かる資料（画面コピーなど）の送付をお願いします。具体的には、データソースだけでなく、抽出基準や抽出手順の記録を記載して頂けると幸い…」</t>
  </si>
  <si>
    <t>レビュー指針 No.14（input/自主点検_レビュー指針.xlsx）</t>
  </si>
  <si>
    <t>14-002</t>
  </si>
  <si>
    <t>原価明細と発生原価合計が案件ごとに一致している</t>
  </si>
  <si>
    <t>14-003</t>
  </si>
  <si>
    <t>全ての案件のマイナス処理について、取消理由がコメントされている</t>
  </si>
  <si>
    <t>14-004</t>
  </si>
  <si>
    <t>請負高1億円以上の案件全てについて、マイナス取引の根拠証憑が提出されている</t>
  </si>
  <si>
    <t>14-005</t>
  </si>
  <si>
    <t>取消理由や案件間の振替理由が合理的である</t>
  </si>
  <si>
    <t>15-001</t>
  </si>
  <si>
    <t>計18件指摘  ▶根拠資料不足(10件): 例)「No.42のご質問の返信になります。 他案件に原価付替をしているかどうかを聞いておりますか？⇒はい。インストラクション上「請負高1億円以上で、利益率5%以下、か…」  ▶網羅性・試算表不一致(4件): 例)「・データソース、手順及び抽出条件が分かる資料（画面コピーなど）の送付をお願いします ・提出物の整合性を確認するため、試算表を提出して頂けないでしょうか。そのうえ…」</t>
  </si>
  <si>
    <t>レビュー指針 No.15（input/自主点検_レビュー指針.xlsx）</t>
  </si>
  <si>
    <t>15-002</t>
  </si>
  <si>
    <t>網羅性が確認できる情報が記載又は提出されている</t>
  </si>
  <si>
    <t>15-003</t>
  </si>
  <si>
    <t>案件明細を貼り付けるだけでなく、案件ごとに月次で金額が並べられ、推移分析ができる状態に整理されている</t>
  </si>
  <si>
    <t>15-004</t>
  </si>
  <si>
    <t>請負高1億円以上の案件だけではなくすべての案件について分析が実施されている</t>
  </si>
  <si>
    <t>15-005</t>
  </si>
  <si>
    <t>請負高1億円以上で、利益率5%以下、かつ、一定期間変動がない案件全てについて、原価振替の有無に関する調査結果が記載されている</t>
  </si>
  <si>
    <t>15-006</t>
  </si>
  <si>
    <t>請負高1億円以上で、利益率5%以下、かつ、一定期間変動がない案件全てについて、原価振替の有無に関する調査結果が提出されている</t>
  </si>
  <si>
    <t>15-007</t>
  </si>
  <si>
    <t>請負高1億円以上で、利益率5%以下、かつ、一定期間変動がない案件全てについて、利益率悪化の要因のコメントや残工事予算と実績の突合などから、要因を説明できている</t>
  </si>
  <si>
    <t>16-001</t>
  </si>
  <si>
    <t>16-002</t>
  </si>
  <si>
    <t>対象となるすべての社内・会社間取引が一覧化されており網羅性が確認できる</t>
  </si>
  <si>
    <t>16-003</t>
  </si>
  <si>
    <t>価格設定が市場価格・原価ベース等の合理的な基準に基づいていることが具体的に説明されている</t>
  </si>
  <si>
    <t>16-004</t>
  </si>
  <si>
    <t>セグメント間・会社間で恣意的な利益移動が行われていないことを確認している</t>
  </si>
  <si>
    <t>17-001</t>
  </si>
  <si>
    <t>17-002</t>
  </si>
  <si>
    <t>費用振替（部門間・案件間）の一覧が提出されており対象取引の網羅性が確認できる</t>
  </si>
  <si>
    <t>17-003</t>
  </si>
  <si>
    <t>各振替について承認者と振替理由が記録されており承認証跡（稟議・メール等）が確認できる</t>
  </si>
  <si>
    <t>17-004</t>
  </si>
  <si>
    <t>振替理由が合理的であり恣意的な利益移動の意図がないことが説明されている</t>
  </si>
  <si>
    <t>18-001</t>
  </si>
  <si>
    <t>計245件指摘  ▶網羅性・試算表不一致(103件): 例)「・上記作成の上で必要となるデータソース及び抽出条件が分かる資料（画面コピーなど）の送付をお願いいたします ・網羅性が確認できる資料（残高試算表との一致確認）の送…」  ▶根拠資料不足(74件): 例)「2026年3月の販売費及び一般管理費の合計と自主点検06の根拠資料として格納されております月次推移表の3月の金額が一致していないかと存じますが、ご確認いただけま…」</t>
  </si>
  <si>
    <t>レビュー指針 No.18（input/自主点検_レビュー指針.xlsx）</t>
  </si>
  <si>
    <t>18-002</t>
  </si>
  <si>
    <t>18-003</t>
  </si>
  <si>
    <t>25年4月～26年3月の科目毎の月次推移表及びグラフが作成されている</t>
  </si>
  <si>
    <t>18-004</t>
  </si>
  <si>
    <t>変動額と要因分析のコメントに記載されている影響金額が概ね整合している</t>
  </si>
  <si>
    <t>18-005</t>
  </si>
  <si>
    <t>変動の大きい科目について、要因の説明が十分にされている</t>
  </si>
  <si>
    <t>18-006</t>
  </si>
  <si>
    <t>変動の説明をサポートする適切な根拠資料が提出されている</t>
  </si>
  <si>
    <t>18-007</t>
  </si>
  <si>
    <t>25年4月～26年3月の科目毎の月次推移表が作成されている</t>
  </si>
  <si>
    <t>18-008</t>
  </si>
  <si>
    <t>変動の大きい科目について、要因の説明がなされている</t>
  </si>
  <si>
    <t>19-001</t>
  </si>
  <si>
    <t>計195件指摘  ▶根拠資料不足(70件): 例)「貴社親会社が作成した自主点検の説明資料によると、確認方法（作業イメージ）は以下の通りです。 １．2026年4月に費用計上された仕訳の明細データを出⼒し、明細デー…」  ▶網羅性・試算表不一致(66件): 例)「・データソース及び抽出条件が分かる資料（画面コピーなど）の送付をお願いします ・網羅性が確認できる資料（試算表との一致確認）の送付をお願いします…」</t>
  </si>
  <si>
    <t>レビュー指針 No.19（input/自主点検_レビュー指針.xlsx）</t>
  </si>
  <si>
    <t>19-002</t>
  </si>
  <si>
    <t>19-003</t>
  </si>
  <si>
    <t>仕訳明細データの摘要欄等から、26年3月以前に費用計上すべき費用の有無を確認している</t>
  </si>
  <si>
    <t>19-004</t>
  </si>
  <si>
    <t>26年3月以前に費用計上すべきリスクのある費用について会計処理の顛末が適切に記載されている</t>
  </si>
  <si>
    <t>19-005</t>
  </si>
  <si>
    <t>修正した場合、伝票番号等が記載され、第三者が確認できるようになっている</t>
  </si>
  <si>
    <t>20-001</t>
  </si>
  <si>
    <t>管理部門により非経常的な取引について各部署から情報を収集している</t>
  </si>
  <si>
    <t>計86件指摘  ▶根拠資料不足(37件): 例)「・該当なしのご回答をご提出されましたが、管理部門より各部署に情報収集を実施したことの証明できる証憑（メール、アンケート等）をご送付ください…」  ▶その他(15件): 例)「各部署アンケートで「非経常的取引：あり」と回答された内容について、 以下内容を示す資料のご提出をお願いいたします。 ①収集した情報を基に、管理部門が会計処理を検…」</t>
  </si>
  <si>
    <t>レビュー指針 No.20（input/自主点検_レビュー指針.xlsx）</t>
  </si>
  <si>
    <t>20-002</t>
  </si>
  <si>
    <t>収集した情報を基に、管理部門が会計処理を検討している</t>
  </si>
  <si>
    <t>20-003</t>
  </si>
  <si>
    <t>非経常的な取引がある場合、管理部門は収集情報に基づいて正しい会計処理を行っている</t>
  </si>
  <si>
    <t>21-001</t>
  </si>
  <si>
    <t>計144件指摘  ▶網羅性・試算表不一致(57件): 例)「・データソース及び抽出条件が分かる資料（抽出する際の条件を記載した画面スクショなど）の提出をお願い出来ますでしょうか。 ・データの網羅性確認のため、試算表の提出…」  ▶根拠資料不足(40件): 例)「■販管費等の明細をご提出いただておりますが、こちらすべて見積に係る費用となりますでしょうか。 ①明細すべてが見積に係る費用の場合 ＞見積計上費用の根拠資料（一定…」</t>
  </si>
  <si>
    <t>レビュー指針 No.21（input/自主点検_レビュー指針.xlsx）</t>
  </si>
  <si>
    <t>21-002</t>
  </si>
  <si>
    <t>21-003</t>
  </si>
  <si>
    <t>見積計上の根拠が十分に示されている</t>
  </si>
  <si>
    <t>22-001</t>
  </si>
  <si>
    <t>計148件指摘  ▶網羅性・試算表不一致(60件): 例)「・「22_固定資産の除却取引_成果物（AWLSol）」について、資産ごとの固定資産除却損を記載いただけますでしょうか。 ・資産ごとの固定資産除却損の合計額が試算…」  ▶根拠資料不足(55件): 例)「・除却取引全てについて根拠資料(仕訳伝票だけでなく、例えば、除却申請書や職務権限決裁報告書)が提出されていない ・除却売却明細1行ごとの証憑（除却申請書など）を…」</t>
  </si>
  <si>
    <t>レビュー指針 No.22（input/自主点検_レビュー指針.xlsx）</t>
  </si>
  <si>
    <t>22-002</t>
  </si>
  <si>
    <t>22-003</t>
  </si>
  <si>
    <t>除却取引全てについて根拠資料(仕訳伝票だけでなく、例えば、除却申請書や職務権限決裁報告書)が提出されている</t>
  </si>
  <si>
    <t>22-004</t>
  </si>
  <si>
    <t>根拠資料に基づき、適切な時期に会計上の除却処理がされている</t>
  </si>
  <si>
    <t>23-001</t>
  </si>
  <si>
    <t>計139件指摘  ▶網羅性・試算表不一致(74件): 例)「・試算表との一致が確認できる資料（一致の記載/画面コピー）をお願いします ・固定資産台帳の抽出条件が分かる資料（画面コピーなど）の送付をお願いします ・「自主点…」  ▶根拠資料不足(37件): 例)「車両運搬具で計上している「ボデー修理一式」について、資産計上の根拠となる追加証憑（稟議等で修理内容を説明されているものなど）のご提供をお願いいたします。 なお、…」</t>
  </si>
  <si>
    <t>レビュー指針 No.23（input/自主点検_レビュー指針.xlsx）</t>
  </si>
  <si>
    <t>23-002</t>
  </si>
  <si>
    <t>23-003</t>
  </si>
  <si>
    <t>修繕費や研究費等の費用計上すべき内容が固定資産計上されている可能性がある明細にフラグが付けられており、資産計上の妥当性に関するコメントが記載されている</t>
  </si>
  <si>
    <t>23-004</t>
  </si>
  <si>
    <t>フラグが付された明細の固定資産計上に関する合理的な説明がされているか</t>
  </si>
  <si>
    <t>24-001</t>
  </si>
  <si>
    <t>計1件指摘  ▶根拠資料不足(1件): 例)「・25年7月支払い額と引当減資(2503時引当金)の差異の金額および差異が生じた要因についてコメントが記載されていませんでしたので、記載をお願いできますでしょう…」</t>
  </si>
  <si>
    <t>24-002</t>
  </si>
  <si>
    <t>「資産除去債務に関するアンケート」（エクセル）の全設問（質問Ⅰ〜Ⅳ）が記入・提出されている</t>
  </si>
  <si>
    <t>24-003</t>
  </si>
  <si>
    <t>アンケート記載の必要添付資料（賃貸借契約書・固定資産台帳等）が漏れなく提出されている</t>
  </si>
  <si>
    <t>24-004</t>
  </si>
  <si>
    <t>資産除去債務の計上要否の判断が証憑（賃貸借契約書・過去の固定資産除却損実績等）に基づき整理されている</t>
  </si>
  <si>
    <t>24-005</t>
  </si>
  <si>
    <t>計上すべき資産除去債務が漏れなく計上されており計上金額と見積根拠が整合している（差異がある場合は要因説明あり）</t>
  </si>
  <si>
    <t>25-001</t>
  </si>
  <si>
    <t>計169件指摘  ▶網羅性・試算表不一致(65件): 例)「2025年3月期全社TBの営業損益の一致が確認できる情報や資料のご提出をお願いします。…」  ▶根拠資料不足(45件): 例)「2025年3月期全社TBの営業損益との一致が確認できる資料の送付をお願いします。…」</t>
  </si>
  <si>
    <t>レビュー指針 No.25（input/自主点検_レビュー指針.xlsx）</t>
  </si>
  <si>
    <t>25-002</t>
  </si>
  <si>
    <t>25-003</t>
  </si>
  <si>
    <t>減損の兆候に抵触するCGUについて、割引前将来CFだけでなく割引後将来CFに基づく減損計上要否の検討がなされているか</t>
  </si>
  <si>
    <t>25-004</t>
  </si>
  <si>
    <t>減損の兆候に抵触するCGUについて、どのような考えでグルーピングを行っているのかについて記述されているか</t>
  </si>
  <si>
    <t>25-005</t>
  </si>
  <si>
    <t>減損検討結果の判断に合理性はあるか</t>
  </si>
  <si>
    <t>25-006</t>
  </si>
  <si>
    <t>最終的な会計処理と自主点検成果物の内容の整合性確認
①26/3期に減損が計上されることとなった会社の自主点検成果物で減損が必要となっている
②自主点検成果物で減損が必要となった会社について、減損が計上されていることを確認する</t>
  </si>
  <si>
    <t>26-001</t>
  </si>
  <si>
    <t>計193件指摘  ▶根拠資料不足(90件): 例)「・賞与引当金を計上する際に、繰入金額の計算資料の送付をお願いします…」  ▶網羅性・試算表不一致(76件): 例)「・データソース及び抽出条件が分かる資料（画面コピーなど）の提出してください ・網羅性が確認できる資料（試算表との一致確認）の送付をお願いします…」</t>
  </si>
  <si>
    <t>レビュー指針 No.26（input/自主点検_レビュー指針.xlsx）</t>
  </si>
  <si>
    <t>26-002</t>
  </si>
  <si>
    <t>賞与引当金繰入額（PL）、賞与引当金（BS）が試算表と一致することが確認できる</t>
  </si>
  <si>
    <t>26-003</t>
  </si>
  <si>
    <t>取り崩し時に当初計上額と支払額の比較分析資料が提出されている（コメントが記載されている）</t>
  </si>
  <si>
    <t>26-004</t>
  </si>
  <si>
    <t>賞与引当金が計上されている場合、見積金額の根拠資料が提出されている</t>
  </si>
  <si>
    <t>26-005</t>
  </si>
  <si>
    <t>賞与引当金が計上されていない場合、理由が記載されている</t>
  </si>
  <si>
    <t>26-006</t>
  </si>
  <si>
    <t>根拠資料は社内で承認されたものである</t>
  </si>
  <si>
    <t>26-007</t>
  </si>
  <si>
    <t>賞与引当金の計算は正確に行われている</t>
  </si>
  <si>
    <t>26-008</t>
  </si>
  <si>
    <t>引当⾦計上額と支払額に乖離がある場合、その要因のコメントは妥当である</t>
  </si>
  <si>
    <t>27-001</t>
  </si>
  <si>
    <t>計1件指摘  ▶網羅性・試算表不一致(1件): 例)「①月次試算表とワークシート上の数値が照合できませんでした。可能性として、BS賞与引当金は1月ずれが生じており、PL賞与引当金繰入額は他の勘定科目との入繰りが生じ…」</t>
  </si>
  <si>
    <t>27-002</t>
  </si>
  <si>
    <t>第一次チェック項目（3月末データ）および第二次チェック項目（4月データ）がともに記入・提出されている</t>
  </si>
  <si>
    <t>27-003</t>
  </si>
  <si>
    <t>チェックリストの自己評価がNo.1〜No.26の各点検項目の実施結果と整合している（各論点の結論が記載されている）</t>
  </si>
  <si>
    <t>27-004</t>
  </si>
  <si>
    <t>チェックリストに対する社内承認（上席者または責任者）が記録されている</t>
  </si>
  <si>
    <t>27-005</t>
  </si>
  <si>
    <t>内部統制全般（訂正仕訳の方法統一・起票承認分離・システム外修正禁止）に関する設問への回答が実態に基づき具体的に記載されている</t>
  </si>
  <si>
    <t>27-006</t>
  </si>
  <si>
    <t>ガバナンス・牽制（内部通報制度の周知・自主点検結果の社内承認）に関する設問への回答が記載されている</t>
  </si>
  <si>
    <t>27-007</t>
  </si>
  <si>
    <t>チェックリスト回答と宣誓書の内容が矛盾しておらず宣誓書へのサイン準備が整っている</t>
  </si>
  <si>
    <t>28-001</t>
  </si>
  <si>
    <t>計9件指摘  ▶増減コメント不整合(9件): 例)「(No.28_財務分析が対象外の会社様におかれましては、連結PKGにて大きな増減が検出された場合に、科目単位で増減理由を確認させていただいております) ----…」</t>
  </si>
  <si>
    <t>28-002</t>
  </si>
  <si>
    <t>分析対象期間（3Q: 前期3Q比較／期末: 前期4Q比較）が適切に設定されており分析結果が提出されている</t>
  </si>
  <si>
    <t>28-003</t>
  </si>
  <si>
    <t>異常な増減がある科目について科目単位で増減要因の説明が記載されている</t>
  </si>
  <si>
    <t>28-004</t>
  </si>
  <si>
    <t>棚卸資産評価損の計上有無と計上ルールが確認・記載されている</t>
  </si>
  <si>
    <t>28-005</t>
  </si>
  <si>
    <t>増減の大きい科目に対する要因分析が合理的であり異常値の説明が十分である</t>
  </si>
  <si>
    <t>28-006</t>
  </si>
  <si>
    <t>個社別分析対象会社では分析用ファイルへの回答と連結PKG上の数値が整合している</t>
  </si>
  <si>
    <t>28-007</t>
  </si>
  <si>
    <t>異常増減の説明を裏付ける根拠資料が提出されている</t>
  </si>
  <si>
    <t>自主点検  点検項目インデックス（28項目）</t>
  </si>
  <si>
    <t>関連科目・取引</t>
  </si>
  <si>
    <t>提出物数</t>
  </si>
  <si>
    <t>CP数</t>
  </si>
  <si>
    <t>年度末
対象</t>
  </si>
  <si>
    <t>四半期
対象</t>
  </si>
  <si>
    <t>過去事例
件数</t>
  </si>
  <si>
    <t>売掛金、売上</t>
  </si>
  <si>
    <t>棚卸資産、売上</t>
  </si>
  <si>
    <t>固定資産</t>
  </si>
  <si>
    <t>売掛金</t>
  </si>
  <si>
    <t>売上</t>
  </si>
  <si>
    <t>売上、仕掛品</t>
  </si>
  <si>
    <t>売上原価、仕掛品</t>
  </si>
  <si>
    <t>売上原価</t>
  </si>
  <si>
    <t>販売費及び一般管理費</t>
  </si>
  <si>
    <t>損益全般</t>
  </si>
  <si>
    <t>販売費及び一般管理費、引当金</t>
  </si>
  <si>
    <t>固定資産、固定資産除却損</t>
  </si>
  <si>
    <t>固定資産、資産除去債務</t>
  </si>
  <si>
    <t>固定資産、のれん、投資その他の資産</t>
  </si>
  <si>
    <t>賞与引当金、賞与</t>
  </si>
  <si>
    <t>全般</t>
  </si>
  <si>
    <t>合計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</si>
</sst>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ＭＳ Ｐゴシック"/>
      <family val="2"/>
      <scheme val="minor"/>
    </font>
    <font>
      <b/>
      <sz val="13"/>
      <color rgb="FF1F3864"/>
      <name val="ＭＳ Ｐゴシック"/>
      <family val="3"/>
      <charset val="128"/>
    </font>
    <font>
      <sz val="9"/>
      <color rgb="FF333333"/>
      <name val="ＭＳ Ｐゴシック"/>
      <family val="3"/>
      <charset val="128"/>
    </font>
    <font>
      <i/>
      <sz val="9"/>
      <color rgb="FF5C5C5C"/>
      <name val="ＭＳ Ｐゴシック"/>
      <family val="3"/>
      <charset val="128"/>
    </font>
    <font>
      <b/>
      <sz val="9"/>
      <color rgb="FFFFFFFF"/>
      <name val="ＭＳ Ｐゴシック"/>
      <family val="3"/>
      <charset val="128"/>
    </font>
    <font>
      <sz val="9"/>
      <name val="ＭＳ Ｐゴシック"/>
      <family val="3"/>
      <charset val="128"/>
    </font>
    <font>
      <sz val="9"/>
      <color rgb="FF1F3864"/>
      <name val="ＭＳ Ｐゴシック"/>
      <family val="3"/>
      <charset val="128"/>
    </font>
    <font>
      <b/>
      <sz val="9"/>
      <color rgb="FF000000"/>
      <name val="ＭＳ Ｐゴシック"/>
      <family val="3"/>
      <charset val="128"/>
    </font>
    <font>
      <b/>
      <sz val="9"/>
      <color rgb="FF1F3864"/>
      <name val="ＭＳ Ｐゴシック"/>
      <family val="3"/>
      <charset val="128"/>
    </font>
    <font>
      <sz val="6"/>
      <name val="ＭＳ Ｐゴシック"/>
      <family val="3"/>
      <charset val="128"/>
      <scheme val="minor"/>
    </font>
  </fonts>
  <fills count="8">
    <fill>
      <patternFill patternType="none"/>
    </fill>
    <fill>
      <patternFill patternType="gray125"/>
    </fill>
    <fill>
      <patternFill patternType="solid">
        <fgColor rgb="FFEEF2FA"/>
      </patternFill>
    </fill>
    <fill>
      <patternFill patternType="solid">
        <fgColor rgb="FFF5F5F0"/>
      </patternFill>
    </fill>
    <fill>
      <patternFill patternType="solid">
        <fgColor rgb="FF2E5FA3"/>
      </patternFill>
    </fill>
    <fill>
      <patternFill patternType="solid">
        <fgColor rgb="FF375623"/>
      </patternFill>
    </fill>
    <fill>
      <patternFill patternType="solid">
        <fgColor rgb="FFFFFFF0"/>
      </patternFill>
    </fill>
    <fill>
      <patternFill patternType="solid">
        <fgColor rgb="FFE2EAF5"/>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5">
    <xf numFmtId="0" fontId="0" fillId="0" borderId="0" xfId="0"/>
    <xf numFmtId="0" fontId="4" fillId="4" borderId="0" xfId="0" applyFont="1" applyFill="1" applyAlignment="1">
      <alignment horizontal="center" vertical="center" wrapText="1"/>
    </xf>
    <xf numFmtId="0" fontId="4" fillId="5" borderId="0" xfId="0" applyFont="1" applyFill="1" applyAlignment="1">
      <alignment horizontal="center" vertical="center" wrapText="1"/>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center" vertical="center"/>
    </xf>
    <xf numFmtId="0" fontId="7" fillId="7" borderId="1" xfId="0" applyFont="1" applyFill="1" applyBorder="1" applyAlignment="1">
      <alignment horizontal="center" vertical="center"/>
    </xf>
    <xf numFmtId="0" fontId="8" fillId="7" borderId="1" xfId="0" applyFont="1" applyFill="1" applyBorder="1" applyAlignment="1">
      <alignment horizontal="center" vertical="center"/>
    </xf>
    <xf numFmtId="0" fontId="3" fillId="3" borderId="0" xfId="0" applyFont="1" applyFill="1" applyAlignment="1">
      <alignment horizontal="left" vertical="center" indent="1"/>
    </xf>
    <xf numFmtId="0" fontId="0" fillId="0" borderId="0" xfId="0"/>
    <xf numFmtId="0" fontId="2" fillId="2" borderId="0" xfId="0" applyFont="1" applyFill="1" applyAlignment="1">
      <alignment horizontal="left" vertical="center" indent="1"/>
    </xf>
    <xf numFmtId="0" fontId="1" fillId="2" borderId="0" xfId="0" applyFont="1" applyFill="1" applyAlignment="1">
      <alignment horizontal="left" vertical="center" inden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提出物" displayName="提出物" ref="A6:P88">
  <autoFilter ref="A6:P88" xr:uid="{00000000-0009-0000-0100-000001000000}"/>
  <tableColumns count="16">
    <tableColumn id="1" xr3:uid="{00000000-0010-0000-0000-000001000000}" name="No"/>
    <tableColumn id="2" xr3:uid="{00000000-0010-0000-0000-000002000000}" name="項目No"/>
    <tableColumn id="3" xr3:uid="{00000000-0010-0000-0000-000003000000}" name="点検項目名"/>
    <tableColumn id="4" xr3:uid="{00000000-0010-0000-0000-000004000000}" name="提出物名"/>
    <tableColumn id="5" xr3:uid="{00000000-0010-0000-0000-000005000000}" name="提出物詳細"/>
    <tableColumn id="6" xr3:uid="{00000000-0010-0000-0000-000006000000}" name="区分"/>
    <tableColumn id="7" xr3:uid="{00000000-0010-0000-0000-000007000000}" name="提出区分"/>
    <tableColumn id="8" xr3:uid="{00000000-0010-0000-0000-000008000000}" name="適用の目安_x000a_（条件付き・代替・排他の場合）"/>
    <tableColumn id="9" xr3:uid="{00000000-0010-0000-0000-000009000000}" name="年度末"/>
    <tableColumn id="10" xr3:uid="{00000000-0010-0000-0000-00000A000000}" name="四半期"/>
    <tableColumn id="11" xr3:uid="{00000000-0010-0000-0000-00000B000000}" name="☑提出"/>
    <tableColumn id="12" xr3:uid="{00000000-0010-0000-0000-00000C000000}" name="該当なし"/>
    <tableColumn id="13" xr3:uid="{00000000-0010-0000-0000-00000D000000}" name="非該当・未提出の理由"/>
    <tableColumn id="14" xr3:uid="{00000000-0010-0000-0000-00000E000000}" name="格納先フォルダパス"/>
    <tableColumn id="15" xr3:uid="{00000000-0010-0000-0000-00000F000000}" name="一次ソース"/>
    <tableColumn id="16" xr3:uid="{00000000-0010-0000-0000-000010000000}" name="備考"/>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チェックポイント" displayName="チェックポイント" ref="A6:M169">
  <autoFilter ref="A6:M169" xr:uid="{00000000-0009-0000-0100-000002000000}"/>
  <tableColumns count="13">
    <tableColumn id="1" xr3:uid="{00000000-0010-0000-0100-000001000000}" name="No"/>
    <tableColumn id="2" xr3:uid="{00000000-0010-0000-0100-000002000000}" name="項目No"/>
    <tableColumn id="3" xr3:uid="{00000000-0010-0000-0100-000003000000}" name="点検項目名"/>
    <tableColumn id="4" xr3:uid="{00000000-0010-0000-0100-000004000000}" name="CP_ID"/>
    <tableColumn id="5" xr3:uid="{00000000-0010-0000-0100-000005000000}" name="チェックポイント内容"/>
    <tableColumn id="6" xr3:uid="{00000000-0010-0000-0100-000006000000}" name="年度末"/>
    <tableColumn id="7" xr3:uid="{00000000-0010-0000-0100-000007000000}" name="四半期"/>
    <tableColumn id="8" xr3:uid="{00000000-0010-0000-0100-000008000000}" name="☑確認"/>
    <tableColumn id="9" xr3:uid="{00000000-0010-0000-0100-000009000000}" name="該当なし"/>
    <tableColumn id="10" xr3:uid="{00000000-0010-0000-0100-00000A000000}" name="非該当・未確認の理由"/>
    <tableColumn id="11" xr3:uid="{00000000-0010-0000-0100-00000B000000}" name="過去の差し戻し注意_x000a_（頻出パターン）"/>
    <tableColumn id="12" xr3:uid="{00000000-0010-0000-0100-00000C000000}" name="一次ソース"/>
    <tableColumn id="13" xr3:uid="{00000000-0010-0000-0100-00000D000000}" name="備考"/>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点検項目" displayName="点検項目" ref="A6:I34">
  <autoFilter ref="A6:I34" xr:uid="{00000000-0009-0000-0100-000003000000}"/>
  <tableColumns count="9">
    <tableColumn id="1" xr3:uid="{00000000-0010-0000-0200-000001000000}" name="No"/>
    <tableColumn id="2" xr3:uid="{00000000-0010-0000-0200-000002000000}" name="点検項目名"/>
    <tableColumn id="3" xr3:uid="{00000000-0010-0000-0200-000003000000}" name="関連科目・取引"/>
    <tableColumn id="4" xr3:uid="{00000000-0010-0000-0200-000004000000}" name="提出物数"/>
    <tableColumn id="5" xr3:uid="{00000000-0010-0000-0200-000005000000}" name="CP数"/>
    <tableColumn id="6" xr3:uid="{00000000-0010-0000-0200-000006000000}" name="年度末_x000a_対象"/>
    <tableColumn id="7" xr3:uid="{00000000-0010-0000-0200-000007000000}" name="四半期_x000a_対象"/>
    <tableColumn id="8" xr3:uid="{00000000-0010-0000-0200-000008000000}" name="過去事例_x000a_件数"/>
    <tableColumn id="9" xr3:uid="{00000000-0010-0000-0200-000009000000}" name="備考"/>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8"/>
  <sheetViews>
    <sheetView showGridLines="0" workbookViewId="0">
      <pane ySplit="6" topLeftCell="A7" activePane="bottomLeft" state="frozen"/>
      <selection pane="bottomLeft" activeCell="D7" sqref="D7"/>
    </sheetView>
  </sheetViews>
  <sheetFormatPr defaultRowHeight="13" x14ac:dyDescent="0.2"/>
  <cols>
    <col min="1" max="1" width="5" customWidth="1"/>
    <col min="2" max="2" width="7" customWidth="1"/>
    <col min="3" max="3" width="22" customWidth="1"/>
    <col min="4" max="4" width="28" customWidth="1"/>
    <col min="5" max="5" width="34" customWidth="1"/>
    <col min="6" max="6" width="13" customWidth="1"/>
    <col min="7" max="7" width="10" customWidth="1"/>
    <col min="8" max="8" width="32" customWidth="1"/>
    <col min="9" max="12" width="7" customWidth="1"/>
    <col min="13" max="14" width="30" customWidth="1"/>
    <col min="15" max="15" width="32" customWidth="1"/>
    <col min="16" max="16" width="24" customWidth="1"/>
  </cols>
  <sheetData>
    <row r="1" spans="1:16" ht="6" customHeight="1" x14ac:dyDescent="0.2"/>
    <row r="2" spans="1:16" ht="26" customHeight="1" x14ac:dyDescent="0.2">
      <c r="A2" s="14" t="s">
        <v>0</v>
      </c>
      <c r="B2" s="12"/>
      <c r="C2" s="12"/>
      <c r="D2" s="12"/>
      <c r="E2" s="12"/>
      <c r="F2" s="12"/>
      <c r="G2" s="12"/>
      <c r="H2" s="12"/>
      <c r="I2" s="12"/>
      <c r="J2" s="12"/>
      <c r="K2" s="12"/>
      <c r="L2" s="12"/>
      <c r="M2" s="12"/>
      <c r="N2" s="12"/>
      <c r="O2" s="12"/>
      <c r="P2" s="12"/>
    </row>
    <row r="3" spans="1:16" ht="18" customHeight="1" x14ac:dyDescent="0.2">
      <c r="A3" s="13" t="s">
        <v>1</v>
      </c>
      <c r="B3" s="12"/>
      <c r="C3" s="12"/>
      <c r="D3" s="12"/>
      <c r="E3" s="12"/>
      <c r="F3" s="12"/>
      <c r="G3" s="12"/>
      <c r="H3" s="12"/>
      <c r="I3" s="12"/>
      <c r="J3" s="12"/>
      <c r="K3" s="12"/>
      <c r="L3" s="12"/>
      <c r="M3" s="12"/>
      <c r="N3" s="12"/>
      <c r="O3" s="12"/>
      <c r="P3" s="12"/>
    </row>
    <row r="4" spans="1:16" ht="15" customHeight="1" x14ac:dyDescent="0.2">
      <c r="A4" s="11" t="s">
        <v>2</v>
      </c>
      <c r="B4" s="12"/>
      <c r="C4" s="12"/>
      <c r="D4" s="12"/>
      <c r="E4" s="12"/>
      <c r="F4" s="12"/>
      <c r="G4" s="12"/>
      <c r="H4" s="12"/>
      <c r="I4" s="12"/>
      <c r="J4" s="12"/>
      <c r="K4" s="12"/>
      <c r="L4" s="12"/>
      <c r="M4" s="12"/>
      <c r="N4" s="12"/>
      <c r="O4" s="12"/>
      <c r="P4" s="12"/>
    </row>
    <row r="5" spans="1:16" ht="4" customHeight="1" x14ac:dyDescent="0.2"/>
    <row r="6" spans="1:16" ht="32" customHeight="1" x14ac:dyDescent="0.2">
      <c r="A6" s="1" t="s">
        <v>3</v>
      </c>
      <c r="B6" s="1" t="s">
        <v>4</v>
      </c>
      <c r="C6" s="1" t="s">
        <v>5</v>
      </c>
      <c r="D6" s="1" t="s">
        <v>6</v>
      </c>
      <c r="E6" s="1" t="s">
        <v>7</v>
      </c>
      <c r="F6" s="1" t="s">
        <v>8</v>
      </c>
      <c r="G6" s="1" t="s">
        <v>9</v>
      </c>
      <c r="H6" s="1" t="s">
        <v>10</v>
      </c>
      <c r="I6" s="1" t="s">
        <v>11</v>
      </c>
      <c r="J6" s="1" t="s">
        <v>12</v>
      </c>
      <c r="K6" s="2" t="s">
        <v>13</v>
      </c>
      <c r="L6" s="2" t="s">
        <v>14</v>
      </c>
      <c r="M6" s="2" t="s">
        <v>15</v>
      </c>
      <c r="N6" s="1" t="s">
        <v>16</v>
      </c>
      <c r="O6" s="1" t="s">
        <v>17</v>
      </c>
      <c r="P6" s="1" t="s">
        <v>18</v>
      </c>
    </row>
    <row r="7" spans="1:16" ht="15" customHeight="1" x14ac:dyDescent="0.2">
      <c r="A7" s="3">
        <v>1</v>
      </c>
      <c r="B7" s="3">
        <v>1</v>
      </c>
      <c r="C7" s="3" t="s">
        <v>19</v>
      </c>
      <c r="D7" s="3" t="s">
        <v>20</v>
      </c>
      <c r="E7" s="3"/>
      <c r="F7" s="3" t="s">
        <v>21</v>
      </c>
      <c r="G7" s="3" t="s">
        <v>22</v>
      </c>
      <c r="H7" s="3"/>
      <c r="I7" s="4" t="s">
        <v>23</v>
      </c>
      <c r="J7" s="4"/>
      <c r="K7" s="5" t="s">
        <v>24</v>
      </c>
      <c r="L7" s="5" t="s">
        <v>24</v>
      </c>
      <c r="M7" s="6"/>
      <c r="N7" s="3" t="s">
        <v>25</v>
      </c>
      <c r="O7" s="3" t="s">
        <v>26</v>
      </c>
      <c r="P7" s="3" t="s">
        <v>27</v>
      </c>
    </row>
    <row r="8" spans="1:16" ht="15" customHeight="1" x14ac:dyDescent="0.2">
      <c r="A8" s="3">
        <v>2</v>
      </c>
      <c r="B8" s="3">
        <v>1</v>
      </c>
      <c r="C8" s="3" t="s">
        <v>19</v>
      </c>
      <c r="D8" s="3" t="s">
        <v>28</v>
      </c>
      <c r="E8" s="3" t="s">
        <v>29</v>
      </c>
      <c r="F8" s="3" t="s">
        <v>21</v>
      </c>
      <c r="G8" s="3" t="s">
        <v>30</v>
      </c>
      <c r="H8" s="3" t="s">
        <v>31</v>
      </c>
      <c r="I8" s="4" t="s">
        <v>23</v>
      </c>
      <c r="J8" s="4"/>
      <c r="K8" s="5" t="s">
        <v>24</v>
      </c>
      <c r="L8" s="5" t="s">
        <v>24</v>
      </c>
      <c r="M8" s="6"/>
      <c r="N8" s="3" t="s">
        <v>25</v>
      </c>
      <c r="O8" s="3" t="s">
        <v>26</v>
      </c>
      <c r="P8" s="3" t="s">
        <v>27</v>
      </c>
    </row>
    <row r="9" spans="1:16" ht="15" customHeight="1" x14ac:dyDescent="0.2">
      <c r="A9" s="3">
        <v>3</v>
      </c>
      <c r="B9" s="3">
        <v>1</v>
      </c>
      <c r="C9" s="3" t="s">
        <v>19</v>
      </c>
      <c r="D9" s="3" t="s">
        <v>32</v>
      </c>
      <c r="E9" s="3"/>
      <c r="F9" s="3" t="s">
        <v>33</v>
      </c>
      <c r="G9" s="3" t="s">
        <v>30</v>
      </c>
      <c r="H9" s="3" t="s">
        <v>34</v>
      </c>
      <c r="I9" s="4" t="s">
        <v>23</v>
      </c>
      <c r="J9" s="4"/>
      <c r="K9" s="5" t="s">
        <v>24</v>
      </c>
      <c r="L9" s="5" t="s">
        <v>24</v>
      </c>
      <c r="M9" s="6"/>
      <c r="N9" s="3" t="s">
        <v>25</v>
      </c>
      <c r="O9" s="3" t="s">
        <v>26</v>
      </c>
      <c r="P9" s="3" t="s">
        <v>27</v>
      </c>
    </row>
    <row r="10" spans="1:16" ht="15" customHeight="1" x14ac:dyDescent="0.2">
      <c r="A10" s="3">
        <v>4</v>
      </c>
      <c r="B10" s="3">
        <v>1</v>
      </c>
      <c r="C10" s="3" t="s">
        <v>19</v>
      </c>
      <c r="D10" s="3" t="s">
        <v>35</v>
      </c>
      <c r="E10" s="3" t="s">
        <v>36</v>
      </c>
      <c r="F10" s="3" t="s">
        <v>37</v>
      </c>
      <c r="G10" s="3" t="s">
        <v>22</v>
      </c>
      <c r="H10" s="3"/>
      <c r="I10" s="4" t="s">
        <v>23</v>
      </c>
      <c r="J10" s="4"/>
      <c r="K10" s="5" t="s">
        <v>24</v>
      </c>
      <c r="L10" s="5" t="s">
        <v>24</v>
      </c>
      <c r="M10" s="6"/>
      <c r="N10" s="3" t="s">
        <v>25</v>
      </c>
      <c r="O10" s="3" t="s">
        <v>26</v>
      </c>
      <c r="P10" s="3" t="s">
        <v>27</v>
      </c>
    </row>
    <row r="11" spans="1:16" ht="15" customHeight="1" x14ac:dyDescent="0.2">
      <c r="A11" s="3">
        <v>5</v>
      </c>
      <c r="B11" s="3">
        <v>1</v>
      </c>
      <c r="C11" s="3" t="s">
        <v>19</v>
      </c>
      <c r="D11" s="3" t="s">
        <v>38</v>
      </c>
      <c r="E11" s="3" t="s">
        <v>39</v>
      </c>
      <c r="F11" s="3" t="s">
        <v>37</v>
      </c>
      <c r="G11" s="3" t="s">
        <v>22</v>
      </c>
      <c r="H11" s="3"/>
      <c r="I11" s="4" t="s">
        <v>23</v>
      </c>
      <c r="J11" s="4"/>
      <c r="K11" s="5" t="s">
        <v>24</v>
      </c>
      <c r="L11" s="5" t="s">
        <v>24</v>
      </c>
      <c r="M11" s="6"/>
      <c r="N11" s="3" t="s">
        <v>25</v>
      </c>
      <c r="O11" s="3" t="s">
        <v>26</v>
      </c>
      <c r="P11" s="3" t="s">
        <v>27</v>
      </c>
    </row>
    <row r="12" spans="1:16" ht="15" customHeight="1" x14ac:dyDescent="0.2">
      <c r="A12" s="3">
        <v>6</v>
      </c>
      <c r="B12" s="3">
        <v>2</v>
      </c>
      <c r="C12" s="3" t="s">
        <v>40</v>
      </c>
      <c r="D12" s="3" t="s">
        <v>41</v>
      </c>
      <c r="E12" s="3" t="s">
        <v>42</v>
      </c>
      <c r="F12" s="3" t="s">
        <v>21</v>
      </c>
      <c r="G12" s="3" t="s">
        <v>22</v>
      </c>
      <c r="H12" s="3"/>
      <c r="I12" s="4" t="s">
        <v>23</v>
      </c>
      <c r="J12" s="4"/>
      <c r="K12" s="5" t="s">
        <v>24</v>
      </c>
      <c r="L12" s="5" t="s">
        <v>24</v>
      </c>
      <c r="M12" s="6"/>
      <c r="N12" s="3" t="s">
        <v>43</v>
      </c>
      <c r="O12" s="3" t="s">
        <v>26</v>
      </c>
      <c r="P12" s="3" t="s">
        <v>44</v>
      </c>
    </row>
    <row r="13" spans="1:16" ht="15" customHeight="1" x14ac:dyDescent="0.2">
      <c r="A13" s="3">
        <v>7</v>
      </c>
      <c r="B13" s="3">
        <v>2</v>
      </c>
      <c r="C13" s="3" t="s">
        <v>40</v>
      </c>
      <c r="D13" s="3" t="s">
        <v>45</v>
      </c>
      <c r="E13" s="3"/>
      <c r="F13" s="3" t="s">
        <v>21</v>
      </c>
      <c r="G13" s="3" t="s">
        <v>30</v>
      </c>
      <c r="H13" s="3" t="s">
        <v>46</v>
      </c>
      <c r="I13" s="4" t="s">
        <v>23</v>
      </c>
      <c r="J13" s="4"/>
      <c r="K13" s="5" t="s">
        <v>24</v>
      </c>
      <c r="L13" s="5" t="s">
        <v>24</v>
      </c>
      <c r="M13" s="6"/>
      <c r="N13" s="3" t="s">
        <v>43</v>
      </c>
      <c r="O13" s="3" t="s">
        <v>26</v>
      </c>
      <c r="P13" s="3" t="s">
        <v>44</v>
      </c>
    </row>
    <row r="14" spans="1:16" ht="15" customHeight="1" x14ac:dyDescent="0.2">
      <c r="A14" s="3">
        <v>8</v>
      </c>
      <c r="B14" s="3">
        <v>3</v>
      </c>
      <c r="C14" s="3" t="s">
        <v>47</v>
      </c>
      <c r="D14" s="3" t="s">
        <v>48</v>
      </c>
      <c r="E14" s="3" t="s">
        <v>49</v>
      </c>
      <c r="F14" s="3" t="s">
        <v>21</v>
      </c>
      <c r="G14" s="3" t="s">
        <v>22</v>
      </c>
      <c r="H14" s="3"/>
      <c r="I14" s="4" t="s">
        <v>23</v>
      </c>
      <c r="J14" s="4"/>
      <c r="K14" s="5" t="s">
        <v>24</v>
      </c>
      <c r="L14" s="5" t="s">
        <v>24</v>
      </c>
      <c r="M14" s="6"/>
      <c r="N14" s="3" t="s">
        <v>50</v>
      </c>
      <c r="O14" s="3" t="s">
        <v>26</v>
      </c>
      <c r="P14" s="3" t="s">
        <v>51</v>
      </c>
    </row>
    <row r="15" spans="1:16" ht="15" customHeight="1" x14ac:dyDescent="0.2">
      <c r="A15" s="3">
        <v>9</v>
      </c>
      <c r="B15" s="3">
        <v>3</v>
      </c>
      <c r="C15" s="3" t="s">
        <v>47</v>
      </c>
      <c r="D15" s="3" t="s">
        <v>52</v>
      </c>
      <c r="E15" s="3"/>
      <c r="F15" s="3" t="s">
        <v>33</v>
      </c>
      <c r="G15" s="3" t="s">
        <v>22</v>
      </c>
      <c r="H15" s="3"/>
      <c r="I15" s="4" t="s">
        <v>23</v>
      </c>
      <c r="J15" s="4"/>
      <c r="K15" s="5" t="s">
        <v>24</v>
      </c>
      <c r="L15" s="5" t="s">
        <v>24</v>
      </c>
      <c r="M15" s="6"/>
      <c r="N15" s="3" t="s">
        <v>50</v>
      </c>
      <c r="O15" s="3" t="s">
        <v>26</v>
      </c>
      <c r="P15" s="3" t="s">
        <v>51</v>
      </c>
    </row>
    <row r="16" spans="1:16" ht="15" customHeight="1" x14ac:dyDescent="0.2">
      <c r="A16" s="3">
        <v>10</v>
      </c>
      <c r="B16" s="3">
        <v>3</v>
      </c>
      <c r="C16" s="3" t="s">
        <v>47</v>
      </c>
      <c r="D16" s="3" t="s">
        <v>53</v>
      </c>
      <c r="E16" s="3" t="s">
        <v>54</v>
      </c>
      <c r="F16" s="3" t="s">
        <v>33</v>
      </c>
      <c r="G16" s="3" t="s">
        <v>55</v>
      </c>
      <c r="H16" s="3" t="s">
        <v>56</v>
      </c>
      <c r="I16" s="4" t="s">
        <v>23</v>
      </c>
      <c r="J16" s="4"/>
      <c r="K16" s="5" t="s">
        <v>24</v>
      </c>
      <c r="L16" s="5" t="s">
        <v>24</v>
      </c>
      <c r="M16" s="6"/>
      <c r="N16" s="3" t="s">
        <v>50</v>
      </c>
      <c r="O16" s="3" t="s">
        <v>26</v>
      </c>
      <c r="P16" s="3" t="s">
        <v>51</v>
      </c>
    </row>
    <row r="17" spans="1:16" ht="15" customHeight="1" x14ac:dyDescent="0.2">
      <c r="A17" s="3">
        <v>11</v>
      </c>
      <c r="B17" s="3">
        <v>3</v>
      </c>
      <c r="C17" s="3" t="s">
        <v>47</v>
      </c>
      <c r="D17" s="3" t="s">
        <v>57</v>
      </c>
      <c r="E17" s="3"/>
      <c r="F17" s="3" t="s">
        <v>21</v>
      </c>
      <c r="G17" s="3" t="s">
        <v>30</v>
      </c>
      <c r="H17" s="3" t="s">
        <v>58</v>
      </c>
      <c r="I17" s="4" t="s">
        <v>23</v>
      </c>
      <c r="J17" s="4"/>
      <c r="K17" s="5" t="s">
        <v>24</v>
      </c>
      <c r="L17" s="5" t="s">
        <v>24</v>
      </c>
      <c r="M17" s="6"/>
      <c r="N17" s="3" t="s">
        <v>50</v>
      </c>
      <c r="O17" s="3" t="s">
        <v>26</v>
      </c>
      <c r="P17" s="3" t="s">
        <v>51</v>
      </c>
    </row>
    <row r="18" spans="1:16" ht="15" customHeight="1" x14ac:dyDescent="0.2">
      <c r="A18" s="3">
        <v>12</v>
      </c>
      <c r="B18" s="3">
        <v>3</v>
      </c>
      <c r="C18" s="3" t="s">
        <v>47</v>
      </c>
      <c r="D18" s="3" t="s">
        <v>59</v>
      </c>
      <c r="E18" s="3" t="s">
        <v>60</v>
      </c>
      <c r="F18" s="3" t="s">
        <v>33</v>
      </c>
      <c r="G18" s="3" t="s">
        <v>30</v>
      </c>
      <c r="H18" s="3" t="s">
        <v>61</v>
      </c>
      <c r="I18" s="4" t="s">
        <v>23</v>
      </c>
      <c r="J18" s="4"/>
      <c r="K18" s="5" t="s">
        <v>24</v>
      </c>
      <c r="L18" s="5" t="s">
        <v>24</v>
      </c>
      <c r="M18" s="6"/>
      <c r="N18" s="3" t="s">
        <v>50</v>
      </c>
      <c r="O18" s="3" t="s">
        <v>26</v>
      </c>
      <c r="P18" s="3" t="s">
        <v>51</v>
      </c>
    </row>
    <row r="19" spans="1:16" ht="15" customHeight="1" x14ac:dyDescent="0.2">
      <c r="A19" s="3">
        <v>13</v>
      </c>
      <c r="B19" s="3">
        <v>3</v>
      </c>
      <c r="C19" s="3" t="s">
        <v>47</v>
      </c>
      <c r="D19" s="3" t="s">
        <v>62</v>
      </c>
      <c r="E19" s="3"/>
      <c r="F19" s="3" t="s">
        <v>21</v>
      </c>
      <c r="G19" s="3" t="s">
        <v>30</v>
      </c>
      <c r="H19" s="3" t="s">
        <v>63</v>
      </c>
      <c r="I19" s="4" t="s">
        <v>23</v>
      </c>
      <c r="J19" s="4"/>
      <c r="K19" s="5" t="s">
        <v>24</v>
      </c>
      <c r="L19" s="5" t="s">
        <v>24</v>
      </c>
      <c r="M19" s="6"/>
      <c r="N19" s="3" t="s">
        <v>50</v>
      </c>
      <c r="O19" s="3" t="s">
        <v>26</v>
      </c>
      <c r="P19" s="3" t="s">
        <v>51</v>
      </c>
    </row>
    <row r="20" spans="1:16" ht="15" customHeight="1" x14ac:dyDescent="0.2">
      <c r="A20" s="3">
        <v>14</v>
      </c>
      <c r="B20" s="3">
        <v>4</v>
      </c>
      <c r="C20" s="3" t="s">
        <v>64</v>
      </c>
      <c r="D20" s="3" t="s">
        <v>65</v>
      </c>
      <c r="E20" s="3" t="s">
        <v>66</v>
      </c>
      <c r="F20" s="3" t="s">
        <v>21</v>
      </c>
      <c r="G20" s="3" t="s">
        <v>22</v>
      </c>
      <c r="H20" s="3"/>
      <c r="I20" s="4" t="s">
        <v>23</v>
      </c>
      <c r="J20" s="4" t="s">
        <v>23</v>
      </c>
      <c r="K20" s="5" t="s">
        <v>24</v>
      </c>
      <c r="L20" s="5" t="s">
        <v>24</v>
      </c>
      <c r="M20" s="6"/>
      <c r="N20" s="3" t="s">
        <v>67</v>
      </c>
      <c r="O20" s="3" t="s">
        <v>26</v>
      </c>
      <c r="P20" s="3" t="s">
        <v>68</v>
      </c>
    </row>
    <row r="21" spans="1:16" ht="15" customHeight="1" x14ac:dyDescent="0.2">
      <c r="A21" s="3">
        <v>15</v>
      </c>
      <c r="B21" s="3">
        <v>4</v>
      </c>
      <c r="C21" s="3" t="s">
        <v>64</v>
      </c>
      <c r="D21" s="3" t="s">
        <v>69</v>
      </c>
      <c r="E21" s="3" t="s">
        <v>70</v>
      </c>
      <c r="F21" s="3" t="s">
        <v>37</v>
      </c>
      <c r="G21" s="3" t="s">
        <v>22</v>
      </c>
      <c r="H21" s="3"/>
      <c r="I21" s="4" t="s">
        <v>23</v>
      </c>
      <c r="J21" s="4" t="s">
        <v>23</v>
      </c>
      <c r="K21" s="5" t="s">
        <v>24</v>
      </c>
      <c r="L21" s="5" t="s">
        <v>24</v>
      </c>
      <c r="M21" s="6"/>
      <c r="N21" s="3" t="s">
        <v>67</v>
      </c>
      <c r="O21" s="3" t="s">
        <v>26</v>
      </c>
      <c r="P21" s="3" t="s">
        <v>68</v>
      </c>
    </row>
    <row r="22" spans="1:16" ht="15" customHeight="1" x14ac:dyDescent="0.2">
      <c r="A22" s="3">
        <v>16</v>
      </c>
      <c r="B22" s="3">
        <v>4</v>
      </c>
      <c r="C22" s="3" t="s">
        <v>64</v>
      </c>
      <c r="D22" s="3" t="s">
        <v>71</v>
      </c>
      <c r="E22" s="3"/>
      <c r="F22" s="3" t="s">
        <v>33</v>
      </c>
      <c r="G22" s="3" t="s">
        <v>55</v>
      </c>
      <c r="H22" s="3" t="s">
        <v>72</v>
      </c>
      <c r="I22" s="4" t="s">
        <v>23</v>
      </c>
      <c r="J22" s="4" t="s">
        <v>23</v>
      </c>
      <c r="K22" s="5" t="s">
        <v>24</v>
      </c>
      <c r="L22" s="5" t="s">
        <v>24</v>
      </c>
      <c r="M22" s="6"/>
      <c r="N22" s="3" t="s">
        <v>67</v>
      </c>
      <c r="O22" s="3" t="s">
        <v>26</v>
      </c>
      <c r="P22" s="3" t="s">
        <v>68</v>
      </c>
    </row>
    <row r="23" spans="1:16" ht="15" customHeight="1" x14ac:dyDescent="0.2">
      <c r="A23" s="3">
        <v>17</v>
      </c>
      <c r="B23" s="3">
        <v>4</v>
      </c>
      <c r="C23" s="3" t="s">
        <v>64</v>
      </c>
      <c r="D23" s="3" t="s">
        <v>73</v>
      </c>
      <c r="E23" s="3" t="s">
        <v>74</v>
      </c>
      <c r="F23" s="3" t="s">
        <v>33</v>
      </c>
      <c r="G23" s="3" t="s">
        <v>30</v>
      </c>
      <c r="H23" s="3" t="s">
        <v>75</v>
      </c>
      <c r="I23" s="4" t="s">
        <v>23</v>
      </c>
      <c r="J23" s="4" t="s">
        <v>23</v>
      </c>
      <c r="K23" s="5" t="s">
        <v>24</v>
      </c>
      <c r="L23" s="5" t="s">
        <v>24</v>
      </c>
      <c r="M23" s="6"/>
      <c r="N23" s="3" t="s">
        <v>67</v>
      </c>
      <c r="O23" s="3" t="s">
        <v>26</v>
      </c>
      <c r="P23" s="3" t="s">
        <v>68</v>
      </c>
    </row>
    <row r="24" spans="1:16" ht="15" customHeight="1" x14ac:dyDescent="0.2">
      <c r="A24" s="3">
        <v>18</v>
      </c>
      <c r="B24" s="3">
        <v>5</v>
      </c>
      <c r="C24" s="3" t="s">
        <v>76</v>
      </c>
      <c r="D24" s="3" t="s">
        <v>77</v>
      </c>
      <c r="E24" s="3" t="s">
        <v>78</v>
      </c>
      <c r="F24" s="3" t="s">
        <v>21</v>
      </c>
      <c r="G24" s="3" t="s">
        <v>22</v>
      </c>
      <c r="H24" s="3"/>
      <c r="I24" s="4" t="s">
        <v>23</v>
      </c>
      <c r="J24" s="4" t="s">
        <v>23</v>
      </c>
      <c r="K24" s="5" t="s">
        <v>24</v>
      </c>
      <c r="L24" s="5" t="s">
        <v>24</v>
      </c>
      <c r="M24" s="6"/>
      <c r="N24" s="3" t="s">
        <v>79</v>
      </c>
      <c r="O24" s="3" t="s">
        <v>26</v>
      </c>
      <c r="P24" s="3" t="s">
        <v>68</v>
      </c>
    </row>
    <row r="25" spans="1:16" ht="15" customHeight="1" x14ac:dyDescent="0.2">
      <c r="A25" s="3">
        <v>19</v>
      </c>
      <c r="B25" s="3">
        <v>5</v>
      </c>
      <c r="C25" s="3" t="s">
        <v>76</v>
      </c>
      <c r="D25" s="3" t="s">
        <v>80</v>
      </c>
      <c r="E25" s="3"/>
      <c r="F25" s="3" t="s">
        <v>21</v>
      </c>
      <c r="G25" s="3" t="s">
        <v>22</v>
      </c>
      <c r="H25" s="3"/>
      <c r="I25" s="4" t="s">
        <v>23</v>
      </c>
      <c r="J25" s="4" t="s">
        <v>23</v>
      </c>
      <c r="K25" s="5" t="s">
        <v>24</v>
      </c>
      <c r="L25" s="5" t="s">
        <v>24</v>
      </c>
      <c r="M25" s="6"/>
      <c r="N25" s="3" t="s">
        <v>79</v>
      </c>
      <c r="O25" s="3" t="s">
        <v>26</v>
      </c>
      <c r="P25" s="3" t="s">
        <v>68</v>
      </c>
    </row>
    <row r="26" spans="1:16" ht="15" customHeight="1" x14ac:dyDescent="0.2">
      <c r="A26" s="3">
        <v>20</v>
      </c>
      <c r="B26" s="3">
        <v>5</v>
      </c>
      <c r="C26" s="3" t="s">
        <v>76</v>
      </c>
      <c r="D26" s="3" t="s">
        <v>70</v>
      </c>
      <c r="E26" s="3" t="s">
        <v>81</v>
      </c>
      <c r="F26" s="3" t="s">
        <v>37</v>
      </c>
      <c r="G26" s="3" t="s">
        <v>22</v>
      </c>
      <c r="H26" s="3"/>
      <c r="I26" s="4" t="s">
        <v>23</v>
      </c>
      <c r="J26" s="4" t="s">
        <v>23</v>
      </c>
      <c r="K26" s="5" t="s">
        <v>24</v>
      </c>
      <c r="L26" s="5" t="s">
        <v>24</v>
      </c>
      <c r="M26" s="6"/>
      <c r="N26" s="3" t="s">
        <v>79</v>
      </c>
      <c r="O26" s="3" t="s">
        <v>26</v>
      </c>
      <c r="P26" s="3" t="s">
        <v>68</v>
      </c>
    </row>
    <row r="27" spans="1:16" ht="15" customHeight="1" x14ac:dyDescent="0.2">
      <c r="A27" s="3">
        <v>21</v>
      </c>
      <c r="B27" s="3">
        <v>5</v>
      </c>
      <c r="C27" s="3" t="s">
        <v>76</v>
      </c>
      <c r="D27" s="3" t="s">
        <v>82</v>
      </c>
      <c r="E27" s="3" t="s">
        <v>83</v>
      </c>
      <c r="F27" s="3" t="s">
        <v>33</v>
      </c>
      <c r="G27" s="3" t="s">
        <v>30</v>
      </c>
      <c r="H27" s="3" t="s">
        <v>84</v>
      </c>
      <c r="I27" s="4" t="s">
        <v>23</v>
      </c>
      <c r="J27" s="4" t="s">
        <v>23</v>
      </c>
      <c r="K27" s="5" t="s">
        <v>24</v>
      </c>
      <c r="L27" s="5" t="s">
        <v>24</v>
      </c>
      <c r="M27" s="6"/>
      <c r="N27" s="3" t="s">
        <v>79</v>
      </c>
      <c r="O27" s="3" t="s">
        <v>26</v>
      </c>
      <c r="P27" s="3" t="s">
        <v>68</v>
      </c>
    </row>
    <row r="28" spans="1:16" ht="15" customHeight="1" x14ac:dyDescent="0.2">
      <c r="A28" s="3">
        <v>22</v>
      </c>
      <c r="B28" s="3">
        <v>6</v>
      </c>
      <c r="C28" s="3" t="s">
        <v>85</v>
      </c>
      <c r="D28" s="3" t="s">
        <v>86</v>
      </c>
      <c r="E28" s="3" t="s">
        <v>87</v>
      </c>
      <c r="F28" s="3" t="s">
        <v>21</v>
      </c>
      <c r="G28" s="3" t="s">
        <v>22</v>
      </c>
      <c r="H28" s="3"/>
      <c r="I28" s="4" t="s">
        <v>23</v>
      </c>
      <c r="J28" s="4" t="s">
        <v>23</v>
      </c>
      <c r="K28" s="5" t="s">
        <v>24</v>
      </c>
      <c r="L28" s="5" t="s">
        <v>24</v>
      </c>
      <c r="M28" s="6"/>
      <c r="N28" s="3" t="s">
        <v>88</v>
      </c>
      <c r="O28" s="3" t="s">
        <v>26</v>
      </c>
      <c r="P28" s="3" t="s">
        <v>89</v>
      </c>
    </row>
    <row r="29" spans="1:16" ht="15" customHeight="1" x14ac:dyDescent="0.2">
      <c r="A29" s="3">
        <v>23</v>
      </c>
      <c r="B29" s="3">
        <v>6</v>
      </c>
      <c r="C29" s="3" t="s">
        <v>85</v>
      </c>
      <c r="D29" s="3" t="s">
        <v>70</v>
      </c>
      <c r="E29" s="3" t="s">
        <v>90</v>
      </c>
      <c r="F29" s="3" t="s">
        <v>37</v>
      </c>
      <c r="G29" s="3" t="s">
        <v>22</v>
      </c>
      <c r="H29" s="3"/>
      <c r="I29" s="4" t="s">
        <v>23</v>
      </c>
      <c r="J29" s="4" t="s">
        <v>23</v>
      </c>
      <c r="K29" s="5" t="s">
        <v>24</v>
      </c>
      <c r="L29" s="5" t="s">
        <v>24</v>
      </c>
      <c r="M29" s="6"/>
      <c r="N29" s="3" t="s">
        <v>88</v>
      </c>
      <c r="O29" s="3" t="s">
        <v>26</v>
      </c>
      <c r="P29" s="3" t="s">
        <v>89</v>
      </c>
    </row>
    <row r="30" spans="1:16" ht="15" customHeight="1" x14ac:dyDescent="0.2">
      <c r="A30" s="3">
        <v>24</v>
      </c>
      <c r="B30" s="3">
        <v>6</v>
      </c>
      <c r="C30" s="3" t="s">
        <v>85</v>
      </c>
      <c r="D30" s="3" t="s">
        <v>91</v>
      </c>
      <c r="E30" s="3"/>
      <c r="F30" s="3" t="s">
        <v>33</v>
      </c>
      <c r="G30" s="3" t="s">
        <v>30</v>
      </c>
      <c r="H30" s="3" t="s">
        <v>92</v>
      </c>
      <c r="I30" s="4" t="s">
        <v>23</v>
      </c>
      <c r="J30" s="4" t="s">
        <v>23</v>
      </c>
      <c r="K30" s="5" t="s">
        <v>24</v>
      </c>
      <c r="L30" s="5" t="s">
        <v>24</v>
      </c>
      <c r="M30" s="6"/>
      <c r="N30" s="3" t="s">
        <v>88</v>
      </c>
      <c r="O30" s="3" t="s">
        <v>26</v>
      </c>
      <c r="P30" s="3" t="s">
        <v>89</v>
      </c>
    </row>
    <row r="31" spans="1:16" ht="15" customHeight="1" x14ac:dyDescent="0.2">
      <c r="A31" s="3">
        <v>25</v>
      </c>
      <c r="B31" s="3">
        <v>7</v>
      </c>
      <c r="C31" s="3" t="s">
        <v>93</v>
      </c>
      <c r="D31" s="3" t="s">
        <v>94</v>
      </c>
      <c r="E31" s="3" t="s">
        <v>95</v>
      </c>
      <c r="F31" s="3" t="s">
        <v>21</v>
      </c>
      <c r="G31" s="3" t="s">
        <v>22</v>
      </c>
      <c r="H31" s="3"/>
      <c r="I31" s="4" t="s">
        <v>23</v>
      </c>
      <c r="J31" s="4" t="s">
        <v>23</v>
      </c>
      <c r="K31" s="5" t="s">
        <v>24</v>
      </c>
      <c r="L31" s="5" t="s">
        <v>24</v>
      </c>
      <c r="M31" s="6"/>
      <c r="N31" s="3" t="s">
        <v>96</v>
      </c>
      <c r="O31" s="3" t="s">
        <v>26</v>
      </c>
      <c r="P31" s="3" t="s">
        <v>97</v>
      </c>
    </row>
    <row r="32" spans="1:16" ht="15" customHeight="1" x14ac:dyDescent="0.2">
      <c r="A32" s="3">
        <v>26</v>
      </c>
      <c r="B32" s="3">
        <v>7</v>
      </c>
      <c r="C32" s="3" t="s">
        <v>93</v>
      </c>
      <c r="D32" s="3" t="s">
        <v>98</v>
      </c>
      <c r="E32" s="3" t="s">
        <v>99</v>
      </c>
      <c r="F32" s="3" t="s">
        <v>33</v>
      </c>
      <c r="G32" s="3" t="s">
        <v>30</v>
      </c>
      <c r="H32" s="3" t="s">
        <v>100</v>
      </c>
      <c r="I32" s="4" t="s">
        <v>23</v>
      </c>
      <c r="J32" s="4" t="s">
        <v>23</v>
      </c>
      <c r="K32" s="5" t="s">
        <v>24</v>
      </c>
      <c r="L32" s="5" t="s">
        <v>24</v>
      </c>
      <c r="M32" s="6"/>
      <c r="N32" s="3" t="s">
        <v>96</v>
      </c>
      <c r="O32" s="3" t="s">
        <v>26</v>
      </c>
      <c r="P32" s="3" t="s">
        <v>97</v>
      </c>
    </row>
    <row r="33" spans="1:16" ht="15" customHeight="1" x14ac:dyDescent="0.2">
      <c r="A33" s="3">
        <v>27</v>
      </c>
      <c r="B33" s="3">
        <v>7</v>
      </c>
      <c r="C33" s="3" t="s">
        <v>93</v>
      </c>
      <c r="D33" s="3" t="s">
        <v>101</v>
      </c>
      <c r="E33" s="3" t="s">
        <v>102</v>
      </c>
      <c r="F33" s="3" t="s">
        <v>37</v>
      </c>
      <c r="G33" s="3" t="s">
        <v>22</v>
      </c>
      <c r="H33" s="3"/>
      <c r="I33" s="4" t="s">
        <v>23</v>
      </c>
      <c r="J33" s="4" t="s">
        <v>23</v>
      </c>
      <c r="K33" s="5" t="s">
        <v>24</v>
      </c>
      <c r="L33" s="5" t="s">
        <v>24</v>
      </c>
      <c r="M33" s="6"/>
      <c r="N33" s="3" t="s">
        <v>96</v>
      </c>
      <c r="O33" s="3" t="s">
        <v>26</v>
      </c>
      <c r="P33" s="3" t="s">
        <v>97</v>
      </c>
    </row>
    <row r="34" spans="1:16" ht="15" customHeight="1" x14ac:dyDescent="0.2">
      <c r="A34" s="3">
        <v>28</v>
      </c>
      <c r="B34" s="3">
        <v>8</v>
      </c>
      <c r="C34" s="3" t="s">
        <v>103</v>
      </c>
      <c r="D34" s="3" t="s">
        <v>104</v>
      </c>
      <c r="E34" s="3" t="s">
        <v>105</v>
      </c>
      <c r="F34" s="3" t="s">
        <v>21</v>
      </c>
      <c r="G34" s="3" t="s">
        <v>22</v>
      </c>
      <c r="H34" s="3"/>
      <c r="I34" s="4" t="s">
        <v>23</v>
      </c>
      <c r="J34" s="4" t="s">
        <v>23</v>
      </c>
      <c r="K34" s="5" t="s">
        <v>24</v>
      </c>
      <c r="L34" s="5" t="s">
        <v>24</v>
      </c>
      <c r="M34" s="6"/>
      <c r="N34" s="3" t="s">
        <v>106</v>
      </c>
      <c r="O34" s="3" t="s">
        <v>26</v>
      </c>
      <c r="P34" s="3" t="s">
        <v>107</v>
      </c>
    </row>
    <row r="35" spans="1:16" ht="15" customHeight="1" x14ac:dyDescent="0.2">
      <c r="A35" s="3">
        <v>29</v>
      </c>
      <c r="B35" s="3">
        <v>8</v>
      </c>
      <c r="C35" s="3" t="s">
        <v>103</v>
      </c>
      <c r="D35" s="3" t="s">
        <v>70</v>
      </c>
      <c r="E35" s="3" t="s">
        <v>108</v>
      </c>
      <c r="F35" s="3" t="s">
        <v>37</v>
      </c>
      <c r="G35" s="3" t="s">
        <v>22</v>
      </c>
      <c r="H35" s="3"/>
      <c r="I35" s="4" t="s">
        <v>23</v>
      </c>
      <c r="J35" s="4" t="s">
        <v>23</v>
      </c>
      <c r="K35" s="5" t="s">
        <v>24</v>
      </c>
      <c r="L35" s="5" t="s">
        <v>24</v>
      </c>
      <c r="M35" s="6"/>
      <c r="N35" s="3" t="s">
        <v>106</v>
      </c>
      <c r="O35" s="3" t="s">
        <v>26</v>
      </c>
      <c r="P35" s="3" t="s">
        <v>107</v>
      </c>
    </row>
    <row r="36" spans="1:16" ht="15" customHeight="1" x14ac:dyDescent="0.2">
      <c r="A36" s="3">
        <v>30</v>
      </c>
      <c r="B36" s="3">
        <v>8</v>
      </c>
      <c r="C36" s="3" t="s">
        <v>103</v>
      </c>
      <c r="D36" s="3" t="s">
        <v>109</v>
      </c>
      <c r="E36" s="3"/>
      <c r="F36" s="3" t="s">
        <v>33</v>
      </c>
      <c r="G36" s="3" t="s">
        <v>30</v>
      </c>
      <c r="H36" s="3" t="s">
        <v>110</v>
      </c>
      <c r="I36" s="4" t="s">
        <v>23</v>
      </c>
      <c r="J36" s="4" t="s">
        <v>23</v>
      </c>
      <c r="K36" s="5" t="s">
        <v>24</v>
      </c>
      <c r="L36" s="5" t="s">
        <v>24</v>
      </c>
      <c r="M36" s="6"/>
      <c r="N36" s="3" t="s">
        <v>106</v>
      </c>
      <c r="O36" s="3" t="s">
        <v>26</v>
      </c>
      <c r="P36" s="3" t="s">
        <v>107</v>
      </c>
    </row>
    <row r="37" spans="1:16" ht="15" customHeight="1" x14ac:dyDescent="0.2">
      <c r="A37" s="3">
        <v>31</v>
      </c>
      <c r="B37" s="3">
        <v>9</v>
      </c>
      <c r="C37" s="3" t="s">
        <v>111</v>
      </c>
      <c r="D37" s="3" t="s">
        <v>112</v>
      </c>
      <c r="E37" s="3" t="s">
        <v>113</v>
      </c>
      <c r="F37" s="3" t="s">
        <v>21</v>
      </c>
      <c r="G37" s="3" t="s">
        <v>22</v>
      </c>
      <c r="H37" s="3"/>
      <c r="I37" s="4" t="s">
        <v>23</v>
      </c>
      <c r="J37" s="4" t="s">
        <v>23</v>
      </c>
      <c r="K37" s="5" t="s">
        <v>24</v>
      </c>
      <c r="L37" s="5" t="s">
        <v>24</v>
      </c>
      <c r="M37" s="6"/>
      <c r="N37" s="3" t="s">
        <v>114</v>
      </c>
      <c r="O37" s="3" t="s">
        <v>26</v>
      </c>
      <c r="P37" s="3" t="s">
        <v>115</v>
      </c>
    </row>
    <row r="38" spans="1:16" ht="15" customHeight="1" x14ac:dyDescent="0.2">
      <c r="A38" s="3">
        <v>32</v>
      </c>
      <c r="B38" s="3">
        <v>9</v>
      </c>
      <c r="C38" s="3" t="s">
        <v>111</v>
      </c>
      <c r="D38" s="3" t="s">
        <v>70</v>
      </c>
      <c r="E38" s="3" t="s">
        <v>116</v>
      </c>
      <c r="F38" s="3" t="s">
        <v>37</v>
      </c>
      <c r="G38" s="3" t="s">
        <v>22</v>
      </c>
      <c r="H38" s="3"/>
      <c r="I38" s="4" t="s">
        <v>23</v>
      </c>
      <c r="J38" s="4" t="s">
        <v>23</v>
      </c>
      <c r="K38" s="5" t="s">
        <v>24</v>
      </c>
      <c r="L38" s="5" t="s">
        <v>24</v>
      </c>
      <c r="M38" s="6"/>
      <c r="N38" s="3" t="s">
        <v>114</v>
      </c>
      <c r="O38" s="3" t="s">
        <v>26</v>
      </c>
      <c r="P38" s="3" t="s">
        <v>115</v>
      </c>
    </row>
    <row r="39" spans="1:16" ht="15" customHeight="1" x14ac:dyDescent="0.2">
      <c r="A39" s="3">
        <v>33</v>
      </c>
      <c r="B39" s="3">
        <v>9</v>
      </c>
      <c r="C39" s="3" t="s">
        <v>111</v>
      </c>
      <c r="D39" s="3" t="s">
        <v>117</v>
      </c>
      <c r="E39" s="3" t="s">
        <v>118</v>
      </c>
      <c r="F39" s="3" t="s">
        <v>33</v>
      </c>
      <c r="G39" s="3" t="s">
        <v>30</v>
      </c>
      <c r="H39" s="3" t="s">
        <v>119</v>
      </c>
      <c r="I39" s="4" t="s">
        <v>23</v>
      </c>
      <c r="J39" s="4" t="s">
        <v>23</v>
      </c>
      <c r="K39" s="5" t="s">
        <v>24</v>
      </c>
      <c r="L39" s="5" t="s">
        <v>24</v>
      </c>
      <c r="M39" s="6"/>
      <c r="N39" s="3" t="s">
        <v>114</v>
      </c>
      <c r="O39" s="3" t="s">
        <v>26</v>
      </c>
      <c r="P39" s="3" t="s">
        <v>115</v>
      </c>
    </row>
    <row r="40" spans="1:16" ht="15" customHeight="1" x14ac:dyDescent="0.2">
      <c r="A40" s="3">
        <v>34</v>
      </c>
      <c r="B40" s="3">
        <v>10</v>
      </c>
      <c r="C40" s="3" t="s">
        <v>120</v>
      </c>
      <c r="D40" s="3" t="s">
        <v>121</v>
      </c>
      <c r="E40" s="3" t="s">
        <v>122</v>
      </c>
      <c r="F40" s="3" t="s">
        <v>21</v>
      </c>
      <c r="G40" s="3" t="s">
        <v>22</v>
      </c>
      <c r="H40" s="3"/>
      <c r="I40" s="4" t="s">
        <v>23</v>
      </c>
      <c r="J40" s="4" t="s">
        <v>23</v>
      </c>
      <c r="K40" s="5" t="s">
        <v>24</v>
      </c>
      <c r="L40" s="5" t="s">
        <v>24</v>
      </c>
      <c r="M40" s="6"/>
      <c r="N40" s="3" t="s">
        <v>123</v>
      </c>
      <c r="O40" s="3" t="s">
        <v>26</v>
      </c>
      <c r="P40" s="3" t="s">
        <v>124</v>
      </c>
    </row>
    <row r="41" spans="1:16" ht="15" customHeight="1" x14ac:dyDescent="0.2">
      <c r="A41" s="3">
        <v>35</v>
      </c>
      <c r="B41" s="3">
        <v>10</v>
      </c>
      <c r="C41" s="3" t="s">
        <v>120</v>
      </c>
      <c r="D41" s="3" t="s">
        <v>70</v>
      </c>
      <c r="E41" s="3" t="s">
        <v>125</v>
      </c>
      <c r="F41" s="3" t="s">
        <v>37</v>
      </c>
      <c r="G41" s="3" t="s">
        <v>22</v>
      </c>
      <c r="H41" s="3"/>
      <c r="I41" s="4" t="s">
        <v>23</v>
      </c>
      <c r="J41" s="4" t="s">
        <v>23</v>
      </c>
      <c r="K41" s="5" t="s">
        <v>24</v>
      </c>
      <c r="L41" s="5" t="s">
        <v>24</v>
      </c>
      <c r="M41" s="6"/>
      <c r="N41" s="3" t="s">
        <v>123</v>
      </c>
      <c r="O41" s="3" t="s">
        <v>26</v>
      </c>
      <c r="P41" s="3" t="s">
        <v>124</v>
      </c>
    </row>
    <row r="42" spans="1:16" ht="15" customHeight="1" x14ac:dyDescent="0.2">
      <c r="A42" s="3">
        <v>36</v>
      </c>
      <c r="B42" s="3">
        <v>11</v>
      </c>
      <c r="C42" s="3" t="s">
        <v>126</v>
      </c>
      <c r="D42" s="3" t="s">
        <v>127</v>
      </c>
      <c r="E42" s="3"/>
      <c r="F42" s="3" t="s">
        <v>21</v>
      </c>
      <c r="G42" s="3" t="s">
        <v>22</v>
      </c>
      <c r="H42" s="3"/>
      <c r="I42" s="4" t="s">
        <v>23</v>
      </c>
      <c r="J42" s="4" t="s">
        <v>23</v>
      </c>
      <c r="K42" s="5" t="s">
        <v>24</v>
      </c>
      <c r="L42" s="5" t="s">
        <v>24</v>
      </c>
      <c r="M42" s="6"/>
      <c r="N42" s="3" t="s">
        <v>128</v>
      </c>
      <c r="O42" s="3" t="s">
        <v>26</v>
      </c>
      <c r="P42" s="3" t="s">
        <v>115</v>
      </c>
    </row>
    <row r="43" spans="1:16" ht="15" customHeight="1" x14ac:dyDescent="0.2">
      <c r="A43" s="3">
        <v>37</v>
      </c>
      <c r="B43" s="3">
        <v>11</v>
      </c>
      <c r="C43" s="3" t="s">
        <v>126</v>
      </c>
      <c r="D43" s="3" t="s">
        <v>129</v>
      </c>
      <c r="E43" s="3" t="s">
        <v>130</v>
      </c>
      <c r="F43" s="3" t="s">
        <v>21</v>
      </c>
      <c r="G43" s="3" t="s">
        <v>22</v>
      </c>
      <c r="H43" s="3"/>
      <c r="I43" s="4" t="s">
        <v>23</v>
      </c>
      <c r="J43" s="4" t="s">
        <v>23</v>
      </c>
      <c r="K43" s="5" t="s">
        <v>24</v>
      </c>
      <c r="L43" s="5" t="s">
        <v>24</v>
      </c>
      <c r="M43" s="6"/>
      <c r="N43" s="3" t="s">
        <v>128</v>
      </c>
      <c r="O43" s="3" t="s">
        <v>26</v>
      </c>
      <c r="P43" s="3" t="s">
        <v>115</v>
      </c>
    </row>
    <row r="44" spans="1:16" ht="15" customHeight="1" x14ac:dyDescent="0.2">
      <c r="A44" s="3">
        <v>38</v>
      </c>
      <c r="B44" s="3">
        <v>11</v>
      </c>
      <c r="C44" s="3" t="s">
        <v>126</v>
      </c>
      <c r="D44" s="3" t="s">
        <v>131</v>
      </c>
      <c r="E44" s="3"/>
      <c r="F44" s="3" t="s">
        <v>33</v>
      </c>
      <c r="G44" s="3" t="s">
        <v>30</v>
      </c>
      <c r="H44" s="3" t="s">
        <v>132</v>
      </c>
      <c r="I44" s="4" t="s">
        <v>23</v>
      </c>
      <c r="J44" s="4" t="s">
        <v>23</v>
      </c>
      <c r="K44" s="5" t="s">
        <v>24</v>
      </c>
      <c r="L44" s="5" t="s">
        <v>24</v>
      </c>
      <c r="M44" s="6"/>
      <c r="N44" s="3" t="s">
        <v>128</v>
      </c>
      <c r="O44" s="3" t="s">
        <v>26</v>
      </c>
      <c r="P44" s="3" t="s">
        <v>115</v>
      </c>
    </row>
    <row r="45" spans="1:16" ht="15" customHeight="1" x14ac:dyDescent="0.2">
      <c r="A45" s="3">
        <v>39</v>
      </c>
      <c r="B45" s="3">
        <v>12</v>
      </c>
      <c r="C45" s="3" t="s">
        <v>133</v>
      </c>
      <c r="D45" s="3" t="s">
        <v>134</v>
      </c>
      <c r="E45" s="3" t="s">
        <v>135</v>
      </c>
      <c r="F45" s="3" t="s">
        <v>21</v>
      </c>
      <c r="G45" s="3" t="s">
        <v>22</v>
      </c>
      <c r="H45" s="3"/>
      <c r="I45" s="4" t="s">
        <v>23</v>
      </c>
      <c r="J45" s="4" t="s">
        <v>23</v>
      </c>
      <c r="K45" s="5" t="s">
        <v>24</v>
      </c>
      <c r="L45" s="5" t="s">
        <v>24</v>
      </c>
      <c r="M45" s="6"/>
      <c r="N45" s="3" t="s">
        <v>136</v>
      </c>
      <c r="O45" s="3" t="s">
        <v>26</v>
      </c>
      <c r="P45" s="3" t="s">
        <v>124</v>
      </c>
    </row>
    <row r="46" spans="1:16" ht="15" customHeight="1" x14ac:dyDescent="0.2">
      <c r="A46" s="3">
        <v>40</v>
      </c>
      <c r="B46" s="3">
        <v>12</v>
      </c>
      <c r="C46" s="3" t="s">
        <v>133</v>
      </c>
      <c r="D46" s="3" t="s">
        <v>137</v>
      </c>
      <c r="E46" s="3" t="s">
        <v>138</v>
      </c>
      <c r="F46" s="3" t="s">
        <v>33</v>
      </c>
      <c r="G46" s="3" t="s">
        <v>22</v>
      </c>
      <c r="H46" s="3"/>
      <c r="I46" s="4" t="s">
        <v>23</v>
      </c>
      <c r="J46" s="4" t="s">
        <v>23</v>
      </c>
      <c r="K46" s="5" t="s">
        <v>24</v>
      </c>
      <c r="L46" s="5" t="s">
        <v>24</v>
      </c>
      <c r="M46" s="6"/>
      <c r="N46" s="3" t="s">
        <v>136</v>
      </c>
      <c r="O46" s="3" t="s">
        <v>26</v>
      </c>
      <c r="P46" s="3" t="s">
        <v>124</v>
      </c>
    </row>
    <row r="47" spans="1:16" ht="15" customHeight="1" x14ac:dyDescent="0.2">
      <c r="A47" s="3">
        <v>41</v>
      </c>
      <c r="B47" s="3">
        <v>12</v>
      </c>
      <c r="C47" s="3" t="s">
        <v>133</v>
      </c>
      <c r="D47" s="3" t="s">
        <v>70</v>
      </c>
      <c r="E47" s="3" t="s">
        <v>139</v>
      </c>
      <c r="F47" s="3" t="s">
        <v>37</v>
      </c>
      <c r="G47" s="3" t="s">
        <v>22</v>
      </c>
      <c r="H47" s="3"/>
      <c r="I47" s="4" t="s">
        <v>23</v>
      </c>
      <c r="J47" s="4" t="s">
        <v>23</v>
      </c>
      <c r="K47" s="5" t="s">
        <v>24</v>
      </c>
      <c r="L47" s="5" t="s">
        <v>24</v>
      </c>
      <c r="M47" s="6"/>
      <c r="N47" s="3" t="s">
        <v>136</v>
      </c>
      <c r="O47" s="3" t="s">
        <v>26</v>
      </c>
      <c r="P47" s="3" t="s">
        <v>124</v>
      </c>
    </row>
    <row r="48" spans="1:16" ht="15" customHeight="1" x14ac:dyDescent="0.2">
      <c r="A48" s="3">
        <v>42</v>
      </c>
      <c r="B48" s="3">
        <v>13</v>
      </c>
      <c r="C48" s="3" t="s">
        <v>140</v>
      </c>
      <c r="D48" s="3" t="s">
        <v>141</v>
      </c>
      <c r="E48" s="3" t="s">
        <v>142</v>
      </c>
      <c r="F48" s="3" t="s">
        <v>21</v>
      </c>
      <c r="G48" s="3" t="s">
        <v>22</v>
      </c>
      <c r="H48" s="3"/>
      <c r="I48" s="4" t="s">
        <v>23</v>
      </c>
      <c r="J48" s="4" t="s">
        <v>23</v>
      </c>
      <c r="K48" s="5" t="s">
        <v>24</v>
      </c>
      <c r="L48" s="5" t="s">
        <v>24</v>
      </c>
      <c r="M48" s="6"/>
      <c r="N48" s="3" t="s">
        <v>143</v>
      </c>
      <c r="O48" s="3" t="s">
        <v>26</v>
      </c>
      <c r="P48" s="3" t="s">
        <v>144</v>
      </c>
    </row>
    <row r="49" spans="1:16" ht="15" customHeight="1" x14ac:dyDescent="0.2">
      <c r="A49" s="3">
        <v>43</v>
      </c>
      <c r="B49" s="3">
        <v>13</v>
      </c>
      <c r="C49" s="3" t="s">
        <v>140</v>
      </c>
      <c r="D49" s="3" t="s">
        <v>70</v>
      </c>
      <c r="E49" s="3" t="s">
        <v>90</v>
      </c>
      <c r="F49" s="3" t="s">
        <v>37</v>
      </c>
      <c r="G49" s="3" t="s">
        <v>22</v>
      </c>
      <c r="H49" s="3"/>
      <c r="I49" s="4" t="s">
        <v>23</v>
      </c>
      <c r="J49" s="4" t="s">
        <v>23</v>
      </c>
      <c r="K49" s="5" t="s">
        <v>24</v>
      </c>
      <c r="L49" s="5" t="s">
        <v>24</v>
      </c>
      <c r="M49" s="6"/>
      <c r="N49" s="3" t="s">
        <v>143</v>
      </c>
      <c r="O49" s="3" t="s">
        <v>26</v>
      </c>
      <c r="P49" s="3" t="s">
        <v>144</v>
      </c>
    </row>
    <row r="50" spans="1:16" ht="15" customHeight="1" x14ac:dyDescent="0.2">
      <c r="A50" s="3">
        <v>44</v>
      </c>
      <c r="B50" s="3">
        <v>13</v>
      </c>
      <c r="C50" s="3" t="s">
        <v>140</v>
      </c>
      <c r="D50" s="3" t="s">
        <v>145</v>
      </c>
      <c r="E50" s="3"/>
      <c r="F50" s="3" t="s">
        <v>33</v>
      </c>
      <c r="G50" s="3" t="s">
        <v>30</v>
      </c>
      <c r="H50" s="3" t="s">
        <v>146</v>
      </c>
      <c r="I50" s="4" t="s">
        <v>23</v>
      </c>
      <c r="J50" s="4" t="s">
        <v>23</v>
      </c>
      <c r="K50" s="5" t="s">
        <v>24</v>
      </c>
      <c r="L50" s="5" t="s">
        <v>24</v>
      </c>
      <c r="M50" s="6"/>
      <c r="N50" s="3" t="s">
        <v>143</v>
      </c>
      <c r="O50" s="3" t="s">
        <v>26</v>
      </c>
      <c r="P50" s="3" t="s">
        <v>144</v>
      </c>
    </row>
    <row r="51" spans="1:16" ht="15" customHeight="1" x14ac:dyDescent="0.2">
      <c r="A51" s="3">
        <v>45</v>
      </c>
      <c r="B51" s="3">
        <v>14</v>
      </c>
      <c r="C51" s="3" t="s">
        <v>147</v>
      </c>
      <c r="D51" s="3" t="s">
        <v>148</v>
      </c>
      <c r="E51" s="3"/>
      <c r="F51" s="3" t="s">
        <v>21</v>
      </c>
      <c r="G51" s="3" t="s">
        <v>22</v>
      </c>
      <c r="H51" s="3"/>
      <c r="I51" s="4" t="s">
        <v>23</v>
      </c>
      <c r="J51" s="4" t="s">
        <v>23</v>
      </c>
      <c r="K51" s="5" t="s">
        <v>24</v>
      </c>
      <c r="L51" s="5" t="s">
        <v>24</v>
      </c>
      <c r="M51" s="6"/>
      <c r="N51" s="3" t="s">
        <v>149</v>
      </c>
      <c r="O51" s="3" t="s">
        <v>26</v>
      </c>
      <c r="P51" s="3" t="s">
        <v>144</v>
      </c>
    </row>
    <row r="52" spans="1:16" ht="15" customHeight="1" x14ac:dyDescent="0.2">
      <c r="A52" s="3">
        <v>46</v>
      </c>
      <c r="B52" s="3">
        <v>14</v>
      </c>
      <c r="C52" s="3" t="s">
        <v>147</v>
      </c>
      <c r="D52" s="3" t="s">
        <v>150</v>
      </c>
      <c r="E52" s="3" t="s">
        <v>151</v>
      </c>
      <c r="F52" s="3" t="s">
        <v>37</v>
      </c>
      <c r="G52" s="3" t="s">
        <v>22</v>
      </c>
      <c r="H52" s="3"/>
      <c r="I52" s="4" t="s">
        <v>23</v>
      </c>
      <c r="J52" s="4" t="s">
        <v>23</v>
      </c>
      <c r="K52" s="5" t="s">
        <v>24</v>
      </c>
      <c r="L52" s="5" t="s">
        <v>24</v>
      </c>
      <c r="M52" s="6"/>
      <c r="N52" s="3" t="s">
        <v>149</v>
      </c>
      <c r="O52" s="3" t="s">
        <v>26</v>
      </c>
      <c r="P52" s="3" t="s">
        <v>144</v>
      </c>
    </row>
    <row r="53" spans="1:16" ht="15" customHeight="1" x14ac:dyDescent="0.2">
      <c r="A53" s="3">
        <v>47</v>
      </c>
      <c r="B53" s="3">
        <v>14</v>
      </c>
      <c r="C53" s="3" t="s">
        <v>147</v>
      </c>
      <c r="D53" s="3" t="s">
        <v>152</v>
      </c>
      <c r="E53" s="3" t="s">
        <v>153</v>
      </c>
      <c r="F53" s="3" t="s">
        <v>33</v>
      </c>
      <c r="G53" s="3" t="s">
        <v>30</v>
      </c>
      <c r="H53" s="3" t="s">
        <v>154</v>
      </c>
      <c r="I53" s="4" t="s">
        <v>23</v>
      </c>
      <c r="J53" s="4" t="s">
        <v>23</v>
      </c>
      <c r="K53" s="5" t="s">
        <v>24</v>
      </c>
      <c r="L53" s="5" t="s">
        <v>24</v>
      </c>
      <c r="M53" s="6"/>
      <c r="N53" s="3" t="s">
        <v>149</v>
      </c>
      <c r="O53" s="3" t="s">
        <v>26</v>
      </c>
      <c r="P53" s="3" t="s">
        <v>144</v>
      </c>
    </row>
    <row r="54" spans="1:16" ht="15" customHeight="1" x14ac:dyDescent="0.2">
      <c r="A54" s="3">
        <v>48</v>
      </c>
      <c r="B54" s="3">
        <v>15</v>
      </c>
      <c r="C54" s="3" t="s">
        <v>155</v>
      </c>
      <c r="D54" s="3" t="s">
        <v>156</v>
      </c>
      <c r="E54" s="3" t="s">
        <v>157</v>
      </c>
      <c r="F54" s="3" t="s">
        <v>21</v>
      </c>
      <c r="G54" s="3" t="s">
        <v>22</v>
      </c>
      <c r="H54" s="3"/>
      <c r="I54" s="4" t="s">
        <v>23</v>
      </c>
      <c r="J54" s="4" t="s">
        <v>23</v>
      </c>
      <c r="K54" s="5" t="s">
        <v>24</v>
      </c>
      <c r="L54" s="5" t="s">
        <v>24</v>
      </c>
      <c r="M54" s="6"/>
      <c r="N54" s="3" t="s">
        <v>158</v>
      </c>
      <c r="O54" s="3" t="s">
        <v>26</v>
      </c>
      <c r="P54" s="3" t="s">
        <v>159</v>
      </c>
    </row>
    <row r="55" spans="1:16" ht="15" customHeight="1" x14ac:dyDescent="0.2">
      <c r="A55" s="3">
        <v>49</v>
      </c>
      <c r="B55" s="3">
        <v>15</v>
      </c>
      <c r="C55" s="3" t="s">
        <v>155</v>
      </c>
      <c r="D55" s="3" t="s">
        <v>160</v>
      </c>
      <c r="E55" s="3"/>
      <c r="F55" s="3" t="s">
        <v>21</v>
      </c>
      <c r="G55" s="3" t="s">
        <v>30</v>
      </c>
      <c r="H55" s="3" t="s">
        <v>161</v>
      </c>
      <c r="I55" s="4" t="s">
        <v>23</v>
      </c>
      <c r="J55" s="4" t="s">
        <v>23</v>
      </c>
      <c r="K55" s="5" t="s">
        <v>24</v>
      </c>
      <c r="L55" s="5" t="s">
        <v>24</v>
      </c>
      <c r="M55" s="6"/>
      <c r="N55" s="3" t="s">
        <v>158</v>
      </c>
      <c r="O55" s="3" t="s">
        <v>26</v>
      </c>
      <c r="P55" s="3" t="s">
        <v>159</v>
      </c>
    </row>
    <row r="56" spans="1:16" ht="15" customHeight="1" x14ac:dyDescent="0.2">
      <c r="A56" s="3">
        <v>50</v>
      </c>
      <c r="B56" s="3">
        <v>15</v>
      </c>
      <c r="C56" s="3" t="s">
        <v>155</v>
      </c>
      <c r="D56" s="3" t="s">
        <v>70</v>
      </c>
      <c r="E56" s="3" t="s">
        <v>162</v>
      </c>
      <c r="F56" s="3" t="s">
        <v>37</v>
      </c>
      <c r="G56" s="3" t="s">
        <v>22</v>
      </c>
      <c r="H56" s="3"/>
      <c r="I56" s="4" t="s">
        <v>23</v>
      </c>
      <c r="J56" s="4" t="s">
        <v>23</v>
      </c>
      <c r="K56" s="5" t="s">
        <v>24</v>
      </c>
      <c r="L56" s="5" t="s">
        <v>24</v>
      </c>
      <c r="M56" s="6"/>
      <c r="N56" s="3" t="s">
        <v>158</v>
      </c>
      <c r="O56" s="3" t="s">
        <v>26</v>
      </c>
      <c r="P56" s="3" t="s">
        <v>159</v>
      </c>
    </row>
    <row r="57" spans="1:16" ht="15" customHeight="1" x14ac:dyDescent="0.2">
      <c r="A57" s="3">
        <v>51</v>
      </c>
      <c r="B57" s="3">
        <v>16</v>
      </c>
      <c r="C57" s="3" t="s">
        <v>163</v>
      </c>
      <c r="D57" s="3" t="s">
        <v>164</v>
      </c>
      <c r="E57" s="3"/>
      <c r="F57" s="3" t="s">
        <v>21</v>
      </c>
      <c r="G57" s="3" t="s">
        <v>30</v>
      </c>
      <c r="H57" s="3" t="s">
        <v>165</v>
      </c>
      <c r="I57" s="4" t="s">
        <v>23</v>
      </c>
      <c r="J57" s="4" t="s">
        <v>23</v>
      </c>
      <c r="K57" s="5" t="s">
        <v>24</v>
      </c>
      <c r="L57" s="5" t="s">
        <v>24</v>
      </c>
      <c r="M57" s="6"/>
      <c r="N57" s="3" t="s">
        <v>166</v>
      </c>
      <c r="O57" s="3" t="s">
        <v>26</v>
      </c>
      <c r="P57" s="3" t="s">
        <v>167</v>
      </c>
    </row>
    <row r="58" spans="1:16" ht="15" customHeight="1" x14ac:dyDescent="0.2">
      <c r="A58" s="3">
        <v>52</v>
      </c>
      <c r="B58" s="3">
        <v>17</v>
      </c>
      <c r="C58" s="3" t="s">
        <v>168</v>
      </c>
      <c r="D58" s="3" t="s">
        <v>169</v>
      </c>
      <c r="E58" s="3"/>
      <c r="F58" s="3" t="s">
        <v>21</v>
      </c>
      <c r="G58" s="3" t="s">
        <v>30</v>
      </c>
      <c r="H58" s="3" t="s">
        <v>165</v>
      </c>
      <c r="I58" s="4" t="s">
        <v>23</v>
      </c>
      <c r="J58" s="4" t="s">
        <v>23</v>
      </c>
      <c r="K58" s="5" t="s">
        <v>24</v>
      </c>
      <c r="L58" s="5" t="s">
        <v>24</v>
      </c>
      <c r="M58" s="6"/>
      <c r="N58" s="3" t="s">
        <v>170</v>
      </c>
      <c r="O58" s="3" t="s">
        <v>26</v>
      </c>
      <c r="P58" s="3" t="s">
        <v>167</v>
      </c>
    </row>
    <row r="59" spans="1:16" ht="15" customHeight="1" x14ac:dyDescent="0.2">
      <c r="A59" s="3">
        <v>53</v>
      </c>
      <c r="B59" s="3">
        <v>18</v>
      </c>
      <c r="C59" s="3" t="s">
        <v>171</v>
      </c>
      <c r="D59" s="3" t="s">
        <v>172</v>
      </c>
      <c r="E59" s="3" t="s">
        <v>173</v>
      </c>
      <c r="F59" s="3" t="s">
        <v>21</v>
      </c>
      <c r="G59" s="3" t="s">
        <v>22</v>
      </c>
      <c r="H59" s="3"/>
      <c r="I59" s="4" t="s">
        <v>23</v>
      </c>
      <c r="J59" s="4" t="s">
        <v>23</v>
      </c>
      <c r="K59" s="5" t="s">
        <v>24</v>
      </c>
      <c r="L59" s="5" t="s">
        <v>24</v>
      </c>
      <c r="M59" s="6"/>
      <c r="N59" s="3" t="s">
        <v>174</v>
      </c>
      <c r="O59" s="3" t="s">
        <v>26</v>
      </c>
      <c r="P59" s="3" t="s">
        <v>175</v>
      </c>
    </row>
    <row r="60" spans="1:16" ht="15" customHeight="1" x14ac:dyDescent="0.2">
      <c r="A60" s="3">
        <v>54</v>
      </c>
      <c r="B60" s="3">
        <v>18</v>
      </c>
      <c r="C60" s="3" t="s">
        <v>171</v>
      </c>
      <c r="D60" s="3" t="s">
        <v>70</v>
      </c>
      <c r="E60" s="3" t="s">
        <v>90</v>
      </c>
      <c r="F60" s="3" t="s">
        <v>37</v>
      </c>
      <c r="G60" s="3" t="s">
        <v>22</v>
      </c>
      <c r="H60" s="3"/>
      <c r="I60" s="4" t="s">
        <v>23</v>
      </c>
      <c r="J60" s="4" t="s">
        <v>23</v>
      </c>
      <c r="K60" s="5" t="s">
        <v>24</v>
      </c>
      <c r="L60" s="5" t="s">
        <v>24</v>
      </c>
      <c r="M60" s="6"/>
      <c r="N60" s="3" t="s">
        <v>174</v>
      </c>
      <c r="O60" s="3" t="s">
        <v>26</v>
      </c>
      <c r="P60" s="3" t="s">
        <v>175</v>
      </c>
    </row>
    <row r="61" spans="1:16" ht="15" customHeight="1" x14ac:dyDescent="0.2">
      <c r="A61" s="3">
        <v>55</v>
      </c>
      <c r="B61" s="3">
        <v>18</v>
      </c>
      <c r="C61" s="3" t="s">
        <v>171</v>
      </c>
      <c r="D61" s="3" t="s">
        <v>176</v>
      </c>
      <c r="E61" s="3"/>
      <c r="F61" s="3" t="s">
        <v>33</v>
      </c>
      <c r="G61" s="3" t="s">
        <v>30</v>
      </c>
      <c r="H61" s="3" t="s">
        <v>177</v>
      </c>
      <c r="I61" s="4" t="s">
        <v>23</v>
      </c>
      <c r="J61" s="4" t="s">
        <v>23</v>
      </c>
      <c r="K61" s="5" t="s">
        <v>24</v>
      </c>
      <c r="L61" s="5" t="s">
        <v>24</v>
      </c>
      <c r="M61" s="6"/>
      <c r="N61" s="3" t="s">
        <v>174</v>
      </c>
      <c r="O61" s="3" t="s">
        <v>26</v>
      </c>
      <c r="P61" s="3" t="s">
        <v>175</v>
      </c>
    </row>
    <row r="62" spans="1:16" ht="15" customHeight="1" x14ac:dyDescent="0.2">
      <c r="A62" s="3">
        <v>56</v>
      </c>
      <c r="B62" s="3">
        <v>19</v>
      </c>
      <c r="C62" s="3" t="s">
        <v>178</v>
      </c>
      <c r="D62" s="3" t="s">
        <v>179</v>
      </c>
      <c r="E62" s="3" t="s">
        <v>180</v>
      </c>
      <c r="F62" s="3" t="s">
        <v>21</v>
      </c>
      <c r="G62" s="3" t="s">
        <v>22</v>
      </c>
      <c r="H62" s="3"/>
      <c r="I62" s="4" t="s">
        <v>23</v>
      </c>
      <c r="J62" s="4" t="s">
        <v>23</v>
      </c>
      <c r="K62" s="5" t="s">
        <v>24</v>
      </c>
      <c r="L62" s="5" t="s">
        <v>24</v>
      </c>
      <c r="M62" s="6"/>
      <c r="N62" s="3" t="s">
        <v>181</v>
      </c>
      <c r="O62" s="3" t="s">
        <v>26</v>
      </c>
      <c r="P62" s="3" t="s">
        <v>107</v>
      </c>
    </row>
    <row r="63" spans="1:16" ht="15" customHeight="1" x14ac:dyDescent="0.2">
      <c r="A63" s="3">
        <v>57</v>
      </c>
      <c r="B63" s="3">
        <v>19</v>
      </c>
      <c r="C63" s="3" t="s">
        <v>178</v>
      </c>
      <c r="D63" s="3" t="s">
        <v>70</v>
      </c>
      <c r="E63" s="3" t="s">
        <v>90</v>
      </c>
      <c r="F63" s="3" t="s">
        <v>37</v>
      </c>
      <c r="G63" s="3" t="s">
        <v>22</v>
      </c>
      <c r="H63" s="3"/>
      <c r="I63" s="4" t="s">
        <v>23</v>
      </c>
      <c r="J63" s="4" t="s">
        <v>23</v>
      </c>
      <c r="K63" s="5" t="s">
        <v>24</v>
      </c>
      <c r="L63" s="5" t="s">
        <v>24</v>
      </c>
      <c r="M63" s="6"/>
      <c r="N63" s="3" t="s">
        <v>181</v>
      </c>
      <c r="O63" s="3" t="s">
        <v>26</v>
      </c>
      <c r="P63" s="3" t="s">
        <v>107</v>
      </c>
    </row>
    <row r="64" spans="1:16" ht="15" customHeight="1" x14ac:dyDescent="0.2">
      <c r="A64" s="3">
        <v>58</v>
      </c>
      <c r="B64" s="3">
        <v>19</v>
      </c>
      <c r="C64" s="3" t="s">
        <v>178</v>
      </c>
      <c r="D64" s="3" t="s">
        <v>182</v>
      </c>
      <c r="E64" s="3"/>
      <c r="F64" s="3" t="s">
        <v>33</v>
      </c>
      <c r="G64" s="3" t="s">
        <v>30</v>
      </c>
      <c r="H64" s="3" t="s">
        <v>183</v>
      </c>
      <c r="I64" s="4" t="s">
        <v>23</v>
      </c>
      <c r="J64" s="4" t="s">
        <v>23</v>
      </c>
      <c r="K64" s="5" t="s">
        <v>24</v>
      </c>
      <c r="L64" s="5" t="s">
        <v>24</v>
      </c>
      <c r="M64" s="6"/>
      <c r="N64" s="3" t="s">
        <v>181</v>
      </c>
      <c r="O64" s="3" t="s">
        <v>26</v>
      </c>
      <c r="P64" s="3" t="s">
        <v>107</v>
      </c>
    </row>
    <row r="65" spans="1:16" ht="15" customHeight="1" x14ac:dyDescent="0.2">
      <c r="A65" s="3">
        <v>59</v>
      </c>
      <c r="B65" s="3">
        <v>20</v>
      </c>
      <c r="C65" s="3" t="s">
        <v>184</v>
      </c>
      <c r="D65" s="3" t="s">
        <v>185</v>
      </c>
      <c r="E65" s="3" t="s">
        <v>186</v>
      </c>
      <c r="F65" s="3" t="s">
        <v>21</v>
      </c>
      <c r="G65" s="3" t="s">
        <v>22</v>
      </c>
      <c r="H65" s="3"/>
      <c r="I65" s="4" t="s">
        <v>23</v>
      </c>
      <c r="J65" s="4" t="s">
        <v>23</v>
      </c>
      <c r="K65" s="5" t="s">
        <v>24</v>
      </c>
      <c r="L65" s="5" t="s">
        <v>24</v>
      </c>
      <c r="M65" s="6"/>
      <c r="N65" s="3" t="s">
        <v>187</v>
      </c>
      <c r="O65" s="3" t="s">
        <v>26</v>
      </c>
      <c r="P65" s="3" t="s">
        <v>188</v>
      </c>
    </row>
    <row r="66" spans="1:16" ht="15" customHeight="1" x14ac:dyDescent="0.2">
      <c r="A66" s="3">
        <v>60</v>
      </c>
      <c r="B66" s="3">
        <v>20</v>
      </c>
      <c r="C66" s="3" t="s">
        <v>184</v>
      </c>
      <c r="D66" s="3" t="s">
        <v>189</v>
      </c>
      <c r="E66" s="3"/>
      <c r="F66" s="3" t="s">
        <v>21</v>
      </c>
      <c r="G66" s="3" t="s">
        <v>30</v>
      </c>
      <c r="H66" s="3" t="s">
        <v>190</v>
      </c>
      <c r="I66" s="4" t="s">
        <v>23</v>
      </c>
      <c r="J66" s="4" t="s">
        <v>23</v>
      </c>
      <c r="K66" s="5" t="s">
        <v>24</v>
      </c>
      <c r="L66" s="5" t="s">
        <v>24</v>
      </c>
      <c r="M66" s="6"/>
      <c r="N66" s="3" t="s">
        <v>187</v>
      </c>
      <c r="O66" s="3" t="s">
        <v>26</v>
      </c>
      <c r="P66" s="3" t="s">
        <v>188</v>
      </c>
    </row>
    <row r="67" spans="1:16" ht="15" customHeight="1" x14ac:dyDescent="0.2">
      <c r="A67" s="3">
        <v>61</v>
      </c>
      <c r="B67" s="3">
        <v>21</v>
      </c>
      <c r="C67" s="3" t="s">
        <v>191</v>
      </c>
      <c r="D67" s="3" t="s">
        <v>192</v>
      </c>
      <c r="E67" s="3" t="s">
        <v>193</v>
      </c>
      <c r="F67" s="3" t="s">
        <v>21</v>
      </c>
      <c r="G67" s="3" t="s">
        <v>22</v>
      </c>
      <c r="H67" s="3"/>
      <c r="I67" s="4" t="s">
        <v>23</v>
      </c>
      <c r="J67" s="4" t="s">
        <v>23</v>
      </c>
      <c r="K67" s="5" t="s">
        <v>24</v>
      </c>
      <c r="L67" s="5" t="s">
        <v>24</v>
      </c>
      <c r="M67" s="6"/>
      <c r="N67" s="3" t="s">
        <v>194</v>
      </c>
      <c r="O67" s="3" t="s">
        <v>26</v>
      </c>
      <c r="P67" s="3" t="s">
        <v>195</v>
      </c>
    </row>
    <row r="68" spans="1:16" ht="15" customHeight="1" x14ac:dyDescent="0.2">
      <c r="A68" s="3">
        <v>62</v>
      </c>
      <c r="B68" s="3">
        <v>21</v>
      </c>
      <c r="C68" s="3" t="s">
        <v>191</v>
      </c>
      <c r="D68" s="3" t="s">
        <v>196</v>
      </c>
      <c r="E68" s="3" t="s">
        <v>197</v>
      </c>
      <c r="F68" s="3" t="s">
        <v>33</v>
      </c>
      <c r="G68" s="3" t="s">
        <v>22</v>
      </c>
      <c r="H68" s="3"/>
      <c r="I68" s="4" t="s">
        <v>23</v>
      </c>
      <c r="J68" s="4" t="s">
        <v>23</v>
      </c>
      <c r="K68" s="5" t="s">
        <v>24</v>
      </c>
      <c r="L68" s="5" t="s">
        <v>24</v>
      </c>
      <c r="M68" s="6"/>
      <c r="N68" s="3" t="s">
        <v>194</v>
      </c>
      <c r="O68" s="3" t="s">
        <v>26</v>
      </c>
      <c r="P68" s="3" t="s">
        <v>195</v>
      </c>
    </row>
    <row r="69" spans="1:16" ht="15" customHeight="1" x14ac:dyDescent="0.2">
      <c r="A69" s="3">
        <v>63</v>
      </c>
      <c r="B69" s="3">
        <v>21</v>
      </c>
      <c r="C69" s="3" t="s">
        <v>191</v>
      </c>
      <c r="D69" s="3" t="s">
        <v>198</v>
      </c>
      <c r="E69" s="3"/>
      <c r="F69" s="3" t="s">
        <v>37</v>
      </c>
      <c r="G69" s="3" t="s">
        <v>22</v>
      </c>
      <c r="H69" s="3"/>
      <c r="I69" s="4" t="s">
        <v>23</v>
      </c>
      <c r="J69" s="4" t="s">
        <v>23</v>
      </c>
      <c r="K69" s="5" t="s">
        <v>24</v>
      </c>
      <c r="L69" s="5" t="s">
        <v>24</v>
      </c>
      <c r="M69" s="6"/>
      <c r="N69" s="3" t="s">
        <v>194</v>
      </c>
      <c r="O69" s="3" t="s">
        <v>26</v>
      </c>
      <c r="P69" s="3" t="s">
        <v>195</v>
      </c>
    </row>
    <row r="70" spans="1:16" ht="15" customHeight="1" x14ac:dyDescent="0.2">
      <c r="A70" s="3">
        <v>64</v>
      </c>
      <c r="B70" s="3">
        <v>22</v>
      </c>
      <c r="C70" s="3" t="s">
        <v>199</v>
      </c>
      <c r="D70" s="3" t="s">
        <v>200</v>
      </c>
      <c r="E70" s="3" t="s">
        <v>201</v>
      </c>
      <c r="F70" s="3" t="s">
        <v>21</v>
      </c>
      <c r="G70" s="3" t="s">
        <v>22</v>
      </c>
      <c r="H70" s="3"/>
      <c r="I70" s="4" t="s">
        <v>23</v>
      </c>
      <c r="J70" s="4" t="s">
        <v>23</v>
      </c>
      <c r="K70" s="5" t="s">
        <v>24</v>
      </c>
      <c r="L70" s="5" t="s">
        <v>24</v>
      </c>
      <c r="M70" s="6"/>
      <c r="N70" s="3" t="s">
        <v>202</v>
      </c>
      <c r="O70" s="3" t="s">
        <v>26</v>
      </c>
      <c r="P70" s="3" t="s">
        <v>203</v>
      </c>
    </row>
    <row r="71" spans="1:16" ht="15" customHeight="1" x14ac:dyDescent="0.2">
      <c r="A71" s="3">
        <v>65</v>
      </c>
      <c r="B71" s="3">
        <v>22</v>
      </c>
      <c r="C71" s="3" t="s">
        <v>199</v>
      </c>
      <c r="D71" s="3" t="s">
        <v>204</v>
      </c>
      <c r="E71" s="3" t="s">
        <v>205</v>
      </c>
      <c r="F71" s="3" t="s">
        <v>37</v>
      </c>
      <c r="G71" s="3" t="s">
        <v>22</v>
      </c>
      <c r="H71" s="3"/>
      <c r="I71" s="4" t="s">
        <v>23</v>
      </c>
      <c r="J71" s="4" t="s">
        <v>23</v>
      </c>
      <c r="K71" s="5" t="s">
        <v>24</v>
      </c>
      <c r="L71" s="5" t="s">
        <v>24</v>
      </c>
      <c r="M71" s="6"/>
      <c r="N71" s="3" t="s">
        <v>202</v>
      </c>
      <c r="O71" s="3" t="s">
        <v>26</v>
      </c>
      <c r="P71" s="3" t="s">
        <v>203</v>
      </c>
    </row>
    <row r="72" spans="1:16" ht="15" customHeight="1" x14ac:dyDescent="0.2">
      <c r="A72" s="3">
        <v>66</v>
      </c>
      <c r="B72" s="3">
        <v>22</v>
      </c>
      <c r="C72" s="3" t="s">
        <v>199</v>
      </c>
      <c r="D72" s="3" t="s">
        <v>206</v>
      </c>
      <c r="E72" s="3" t="s">
        <v>207</v>
      </c>
      <c r="F72" s="3" t="s">
        <v>33</v>
      </c>
      <c r="G72" s="3" t="s">
        <v>22</v>
      </c>
      <c r="H72" s="3"/>
      <c r="I72" s="4" t="s">
        <v>23</v>
      </c>
      <c r="J72" s="4" t="s">
        <v>23</v>
      </c>
      <c r="K72" s="5" t="s">
        <v>24</v>
      </c>
      <c r="L72" s="5" t="s">
        <v>24</v>
      </c>
      <c r="M72" s="6"/>
      <c r="N72" s="3" t="s">
        <v>202</v>
      </c>
      <c r="O72" s="3" t="s">
        <v>26</v>
      </c>
      <c r="P72" s="3" t="s">
        <v>203</v>
      </c>
    </row>
    <row r="73" spans="1:16" ht="15" customHeight="1" x14ac:dyDescent="0.2">
      <c r="A73" s="3">
        <v>67</v>
      </c>
      <c r="B73" s="3">
        <v>23</v>
      </c>
      <c r="C73" s="3" t="s">
        <v>208</v>
      </c>
      <c r="D73" s="3" t="s">
        <v>209</v>
      </c>
      <c r="E73" s="3"/>
      <c r="F73" s="3" t="s">
        <v>21</v>
      </c>
      <c r="G73" s="3" t="s">
        <v>22</v>
      </c>
      <c r="H73" s="3"/>
      <c r="I73" s="4" t="s">
        <v>23</v>
      </c>
      <c r="J73" s="4" t="s">
        <v>23</v>
      </c>
      <c r="K73" s="5" t="s">
        <v>24</v>
      </c>
      <c r="L73" s="5" t="s">
        <v>24</v>
      </c>
      <c r="M73" s="6"/>
      <c r="N73" s="3" t="s">
        <v>210</v>
      </c>
      <c r="O73" s="3" t="s">
        <v>26</v>
      </c>
      <c r="P73" s="3" t="s">
        <v>188</v>
      </c>
    </row>
    <row r="74" spans="1:16" ht="15" customHeight="1" x14ac:dyDescent="0.2">
      <c r="A74" s="3">
        <v>68</v>
      </c>
      <c r="B74" s="3">
        <v>23</v>
      </c>
      <c r="C74" s="3" t="s">
        <v>208</v>
      </c>
      <c r="D74" s="3" t="s">
        <v>70</v>
      </c>
      <c r="E74" s="3" t="s">
        <v>211</v>
      </c>
      <c r="F74" s="3" t="s">
        <v>37</v>
      </c>
      <c r="G74" s="3" t="s">
        <v>22</v>
      </c>
      <c r="H74" s="3"/>
      <c r="I74" s="4" t="s">
        <v>23</v>
      </c>
      <c r="J74" s="4" t="s">
        <v>23</v>
      </c>
      <c r="K74" s="5" t="s">
        <v>24</v>
      </c>
      <c r="L74" s="5" t="s">
        <v>24</v>
      </c>
      <c r="M74" s="6"/>
      <c r="N74" s="3" t="s">
        <v>210</v>
      </c>
      <c r="O74" s="3" t="s">
        <v>26</v>
      </c>
      <c r="P74" s="3" t="s">
        <v>188</v>
      </c>
    </row>
    <row r="75" spans="1:16" ht="15" customHeight="1" x14ac:dyDescent="0.2">
      <c r="A75" s="3">
        <v>69</v>
      </c>
      <c r="B75" s="3">
        <v>23</v>
      </c>
      <c r="C75" s="3" t="s">
        <v>208</v>
      </c>
      <c r="D75" s="3" t="s">
        <v>212</v>
      </c>
      <c r="E75" s="3" t="s">
        <v>213</v>
      </c>
      <c r="F75" s="3" t="s">
        <v>33</v>
      </c>
      <c r="G75" s="3" t="s">
        <v>22</v>
      </c>
      <c r="H75" s="3"/>
      <c r="I75" s="4" t="s">
        <v>23</v>
      </c>
      <c r="J75" s="4" t="s">
        <v>23</v>
      </c>
      <c r="K75" s="5" t="s">
        <v>24</v>
      </c>
      <c r="L75" s="5" t="s">
        <v>24</v>
      </c>
      <c r="M75" s="6"/>
      <c r="N75" s="3" t="s">
        <v>210</v>
      </c>
      <c r="O75" s="3" t="s">
        <v>26</v>
      </c>
      <c r="P75" s="3" t="s">
        <v>188</v>
      </c>
    </row>
    <row r="76" spans="1:16" ht="15" customHeight="1" x14ac:dyDescent="0.2">
      <c r="A76" s="3">
        <v>70</v>
      </c>
      <c r="B76" s="3">
        <v>24</v>
      </c>
      <c r="C76" s="3" t="s">
        <v>214</v>
      </c>
      <c r="D76" s="3" t="s">
        <v>215</v>
      </c>
      <c r="E76" s="3"/>
      <c r="F76" s="3" t="s">
        <v>21</v>
      </c>
      <c r="G76" s="3" t="s">
        <v>22</v>
      </c>
      <c r="H76" s="3"/>
      <c r="I76" s="4" t="s">
        <v>23</v>
      </c>
      <c r="J76" s="4"/>
      <c r="K76" s="5" t="s">
        <v>24</v>
      </c>
      <c r="L76" s="5" t="s">
        <v>24</v>
      </c>
      <c r="M76" s="6"/>
      <c r="N76" s="3" t="s">
        <v>216</v>
      </c>
      <c r="O76" s="3" t="s">
        <v>26</v>
      </c>
      <c r="P76" s="3" t="s">
        <v>217</v>
      </c>
    </row>
    <row r="77" spans="1:16" ht="15" customHeight="1" x14ac:dyDescent="0.2">
      <c r="A77" s="3">
        <v>71</v>
      </c>
      <c r="B77" s="3">
        <v>24</v>
      </c>
      <c r="C77" s="3" t="s">
        <v>214</v>
      </c>
      <c r="D77" s="3" t="s">
        <v>218</v>
      </c>
      <c r="E77" s="3"/>
      <c r="F77" s="3" t="s">
        <v>33</v>
      </c>
      <c r="G77" s="3" t="s">
        <v>30</v>
      </c>
      <c r="H77" s="3" t="s">
        <v>219</v>
      </c>
      <c r="I77" s="4" t="s">
        <v>23</v>
      </c>
      <c r="J77" s="4"/>
      <c r="K77" s="5" t="s">
        <v>24</v>
      </c>
      <c r="L77" s="5" t="s">
        <v>24</v>
      </c>
      <c r="M77" s="6"/>
      <c r="N77" s="3" t="s">
        <v>216</v>
      </c>
      <c r="O77" s="3" t="s">
        <v>26</v>
      </c>
      <c r="P77" s="3" t="s">
        <v>217</v>
      </c>
    </row>
    <row r="78" spans="1:16" ht="15" customHeight="1" x14ac:dyDescent="0.2">
      <c r="A78" s="3">
        <v>72</v>
      </c>
      <c r="B78" s="3">
        <v>25</v>
      </c>
      <c r="C78" s="3" t="s">
        <v>220</v>
      </c>
      <c r="D78" s="3" t="s">
        <v>221</v>
      </c>
      <c r="E78" s="3"/>
      <c r="F78" s="3" t="s">
        <v>21</v>
      </c>
      <c r="G78" s="3" t="s">
        <v>22</v>
      </c>
      <c r="H78" s="3"/>
      <c r="I78" s="4" t="s">
        <v>23</v>
      </c>
      <c r="J78" s="4" t="s">
        <v>23</v>
      </c>
      <c r="K78" s="5" t="s">
        <v>24</v>
      </c>
      <c r="L78" s="5" t="s">
        <v>24</v>
      </c>
      <c r="M78" s="6"/>
      <c r="N78" s="3" t="s">
        <v>222</v>
      </c>
      <c r="O78" s="3" t="s">
        <v>26</v>
      </c>
      <c r="P78" s="3" t="s">
        <v>223</v>
      </c>
    </row>
    <row r="79" spans="1:16" ht="15" customHeight="1" x14ac:dyDescent="0.2">
      <c r="A79" s="3">
        <v>73</v>
      </c>
      <c r="B79" s="3">
        <v>25</v>
      </c>
      <c r="C79" s="3" t="s">
        <v>220</v>
      </c>
      <c r="D79" s="3" t="s">
        <v>224</v>
      </c>
      <c r="E79" s="3"/>
      <c r="F79" s="3" t="s">
        <v>33</v>
      </c>
      <c r="G79" s="3" t="s">
        <v>30</v>
      </c>
      <c r="H79" s="3" t="s">
        <v>225</v>
      </c>
      <c r="I79" s="4" t="s">
        <v>23</v>
      </c>
      <c r="J79" s="4" t="s">
        <v>23</v>
      </c>
      <c r="K79" s="5" t="s">
        <v>24</v>
      </c>
      <c r="L79" s="5" t="s">
        <v>24</v>
      </c>
      <c r="M79" s="6"/>
      <c r="N79" s="3" t="s">
        <v>222</v>
      </c>
      <c r="O79" s="3" t="s">
        <v>26</v>
      </c>
      <c r="P79" s="3" t="s">
        <v>223</v>
      </c>
    </row>
    <row r="80" spans="1:16" ht="15" customHeight="1" x14ac:dyDescent="0.2">
      <c r="A80" s="3">
        <v>74</v>
      </c>
      <c r="B80" s="3">
        <v>25</v>
      </c>
      <c r="C80" s="3" t="s">
        <v>220</v>
      </c>
      <c r="D80" s="3" t="s">
        <v>226</v>
      </c>
      <c r="E80" s="3" t="s">
        <v>227</v>
      </c>
      <c r="F80" s="3" t="s">
        <v>21</v>
      </c>
      <c r="G80" s="3" t="s">
        <v>22</v>
      </c>
      <c r="H80" s="3"/>
      <c r="I80" s="4" t="s">
        <v>23</v>
      </c>
      <c r="J80" s="4" t="s">
        <v>23</v>
      </c>
      <c r="K80" s="5" t="s">
        <v>24</v>
      </c>
      <c r="L80" s="5" t="s">
        <v>24</v>
      </c>
      <c r="M80" s="6"/>
      <c r="N80" s="3" t="s">
        <v>222</v>
      </c>
      <c r="O80" s="3" t="s">
        <v>26</v>
      </c>
      <c r="P80" s="3" t="s">
        <v>223</v>
      </c>
    </row>
    <row r="81" spans="1:16" ht="15" customHeight="1" x14ac:dyDescent="0.2">
      <c r="A81" s="3">
        <v>75</v>
      </c>
      <c r="B81" s="3">
        <v>25</v>
      </c>
      <c r="C81" s="3" t="s">
        <v>220</v>
      </c>
      <c r="D81" s="3" t="s">
        <v>228</v>
      </c>
      <c r="E81" s="3" t="s">
        <v>229</v>
      </c>
      <c r="F81" s="3" t="s">
        <v>37</v>
      </c>
      <c r="G81" s="3" t="s">
        <v>22</v>
      </c>
      <c r="H81" s="3"/>
      <c r="I81" s="4" t="s">
        <v>23</v>
      </c>
      <c r="J81" s="4" t="s">
        <v>23</v>
      </c>
      <c r="K81" s="5" t="s">
        <v>24</v>
      </c>
      <c r="L81" s="5" t="s">
        <v>24</v>
      </c>
      <c r="M81" s="6"/>
      <c r="N81" s="3" t="s">
        <v>222</v>
      </c>
      <c r="O81" s="3" t="s">
        <v>26</v>
      </c>
      <c r="P81" s="3" t="s">
        <v>223</v>
      </c>
    </row>
    <row r="82" spans="1:16" ht="15" customHeight="1" x14ac:dyDescent="0.2">
      <c r="A82" s="3">
        <v>76</v>
      </c>
      <c r="B82" s="3">
        <v>26</v>
      </c>
      <c r="C82" s="3" t="s">
        <v>230</v>
      </c>
      <c r="D82" s="3" t="s">
        <v>231</v>
      </c>
      <c r="E82" s="3" t="s">
        <v>232</v>
      </c>
      <c r="F82" s="3" t="s">
        <v>33</v>
      </c>
      <c r="G82" s="3" t="s">
        <v>233</v>
      </c>
      <c r="H82" s="3" t="s">
        <v>234</v>
      </c>
      <c r="I82" s="4" t="s">
        <v>23</v>
      </c>
      <c r="J82" s="4" t="s">
        <v>23</v>
      </c>
      <c r="K82" s="5" t="s">
        <v>24</v>
      </c>
      <c r="L82" s="5" t="s">
        <v>24</v>
      </c>
      <c r="M82" s="6"/>
      <c r="N82" s="3" t="s">
        <v>235</v>
      </c>
      <c r="O82" s="3" t="s">
        <v>26</v>
      </c>
      <c r="P82" s="3" t="s">
        <v>236</v>
      </c>
    </row>
    <row r="83" spans="1:16" ht="15" customHeight="1" x14ac:dyDescent="0.2">
      <c r="A83" s="3">
        <v>77</v>
      </c>
      <c r="B83" s="3">
        <v>26</v>
      </c>
      <c r="C83" s="3" t="s">
        <v>230</v>
      </c>
      <c r="D83" s="3" t="s">
        <v>237</v>
      </c>
      <c r="E83" s="3"/>
      <c r="F83" s="3" t="s">
        <v>21</v>
      </c>
      <c r="G83" s="3" t="s">
        <v>30</v>
      </c>
      <c r="H83" s="3" t="s">
        <v>238</v>
      </c>
      <c r="I83" s="4" t="s">
        <v>23</v>
      </c>
      <c r="J83" s="4" t="s">
        <v>23</v>
      </c>
      <c r="K83" s="5" t="s">
        <v>24</v>
      </c>
      <c r="L83" s="5" t="s">
        <v>24</v>
      </c>
      <c r="M83" s="6"/>
      <c r="N83" s="3" t="s">
        <v>235</v>
      </c>
      <c r="O83" s="3" t="s">
        <v>26</v>
      </c>
      <c r="P83" s="3" t="s">
        <v>236</v>
      </c>
    </row>
    <row r="84" spans="1:16" ht="15" customHeight="1" x14ac:dyDescent="0.2">
      <c r="A84" s="3">
        <v>78</v>
      </c>
      <c r="B84" s="3">
        <v>26</v>
      </c>
      <c r="C84" s="3" t="s">
        <v>230</v>
      </c>
      <c r="D84" s="3" t="s">
        <v>239</v>
      </c>
      <c r="E84" s="3"/>
      <c r="F84" s="3" t="s">
        <v>21</v>
      </c>
      <c r="G84" s="3" t="s">
        <v>233</v>
      </c>
      <c r="H84" s="3" t="s">
        <v>240</v>
      </c>
      <c r="I84" s="4" t="s">
        <v>23</v>
      </c>
      <c r="J84" s="4" t="s">
        <v>23</v>
      </c>
      <c r="K84" s="5" t="s">
        <v>24</v>
      </c>
      <c r="L84" s="5" t="s">
        <v>24</v>
      </c>
      <c r="M84" s="6"/>
      <c r="N84" s="3" t="s">
        <v>235</v>
      </c>
      <c r="O84" s="3" t="s">
        <v>26</v>
      </c>
      <c r="P84" s="3" t="s">
        <v>236</v>
      </c>
    </row>
    <row r="85" spans="1:16" ht="15" customHeight="1" x14ac:dyDescent="0.2">
      <c r="A85" s="3">
        <v>79</v>
      </c>
      <c r="B85" s="3">
        <v>26</v>
      </c>
      <c r="C85" s="3" t="s">
        <v>230</v>
      </c>
      <c r="D85" s="3" t="s">
        <v>241</v>
      </c>
      <c r="E85" s="3" t="s">
        <v>242</v>
      </c>
      <c r="F85" s="3" t="s">
        <v>37</v>
      </c>
      <c r="G85" s="3" t="s">
        <v>22</v>
      </c>
      <c r="H85" s="3"/>
      <c r="I85" s="4" t="s">
        <v>23</v>
      </c>
      <c r="J85" s="4" t="s">
        <v>23</v>
      </c>
      <c r="K85" s="5" t="s">
        <v>24</v>
      </c>
      <c r="L85" s="5" t="s">
        <v>24</v>
      </c>
      <c r="M85" s="6"/>
      <c r="N85" s="3" t="s">
        <v>235</v>
      </c>
      <c r="O85" s="3" t="s">
        <v>26</v>
      </c>
      <c r="P85" s="3" t="s">
        <v>236</v>
      </c>
    </row>
    <row r="86" spans="1:16" ht="15" customHeight="1" x14ac:dyDescent="0.2">
      <c r="A86" s="3">
        <v>80</v>
      </c>
      <c r="B86" s="3">
        <v>27</v>
      </c>
      <c r="C86" s="3" t="s">
        <v>243</v>
      </c>
      <c r="D86" s="3" t="s">
        <v>243</v>
      </c>
      <c r="E86" s="3" t="s">
        <v>244</v>
      </c>
      <c r="F86" s="3" t="s">
        <v>21</v>
      </c>
      <c r="G86" s="3" t="s">
        <v>22</v>
      </c>
      <c r="H86" s="3"/>
      <c r="I86" s="4" t="s">
        <v>23</v>
      </c>
      <c r="J86" s="4" t="s">
        <v>23</v>
      </c>
      <c r="K86" s="5" t="s">
        <v>24</v>
      </c>
      <c r="L86" s="5" t="s">
        <v>24</v>
      </c>
      <c r="M86" s="6"/>
      <c r="N86" s="3" t="s">
        <v>245</v>
      </c>
      <c r="O86" s="3" t="s">
        <v>26</v>
      </c>
      <c r="P86" s="3" t="s">
        <v>246</v>
      </c>
    </row>
    <row r="87" spans="1:16" ht="15" customHeight="1" x14ac:dyDescent="0.2">
      <c r="A87" s="3">
        <v>81</v>
      </c>
      <c r="B87" s="3">
        <v>28</v>
      </c>
      <c r="C87" s="3" t="s">
        <v>247</v>
      </c>
      <c r="D87" s="3" t="s">
        <v>248</v>
      </c>
      <c r="E87" s="3"/>
      <c r="F87" s="3" t="s">
        <v>21</v>
      </c>
      <c r="G87" s="3" t="s">
        <v>22</v>
      </c>
      <c r="H87" s="3"/>
      <c r="I87" s="4" t="s">
        <v>23</v>
      </c>
      <c r="J87" s="4" t="s">
        <v>23</v>
      </c>
      <c r="K87" s="5" t="s">
        <v>24</v>
      </c>
      <c r="L87" s="5" t="s">
        <v>24</v>
      </c>
      <c r="M87" s="6"/>
      <c r="N87" s="3" t="s">
        <v>249</v>
      </c>
      <c r="O87" s="3" t="s">
        <v>26</v>
      </c>
      <c r="P87" s="3" t="s">
        <v>167</v>
      </c>
    </row>
    <row r="88" spans="1:16" ht="15" customHeight="1" x14ac:dyDescent="0.2">
      <c r="A88" s="3">
        <v>82</v>
      </c>
      <c r="B88" s="3">
        <v>28</v>
      </c>
      <c r="C88" s="3" t="s">
        <v>247</v>
      </c>
      <c r="D88" s="3" t="s">
        <v>250</v>
      </c>
      <c r="E88" s="3"/>
      <c r="F88" s="3" t="s">
        <v>21</v>
      </c>
      <c r="G88" s="3" t="s">
        <v>30</v>
      </c>
      <c r="H88" s="3" t="s">
        <v>251</v>
      </c>
      <c r="I88" s="4" t="s">
        <v>23</v>
      </c>
      <c r="J88" s="4" t="s">
        <v>23</v>
      </c>
      <c r="K88" s="5" t="s">
        <v>24</v>
      </c>
      <c r="L88" s="5" t="s">
        <v>24</v>
      </c>
      <c r="M88" s="6"/>
      <c r="N88" s="3" t="s">
        <v>249</v>
      </c>
      <c r="O88" s="3" t="s">
        <v>26</v>
      </c>
      <c r="P88" s="3" t="s">
        <v>167</v>
      </c>
    </row>
  </sheetData>
  <mergeCells count="3">
    <mergeCell ref="A4:P4"/>
    <mergeCell ref="A3:P3"/>
    <mergeCell ref="A2:P2"/>
  </mergeCells>
  <phoneticPr fontId="9"/>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9"/>
  <sheetViews>
    <sheetView showGridLines="0" tabSelected="1" workbookViewId="0">
      <pane ySplit="6" topLeftCell="A7" activePane="bottomLeft" state="frozen"/>
      <selection pane="bottomLeft" activeCell="A4" sqref="A4:M4"/>
    </sheetView>
  </sheetViews>
  <sheetFormatPr defaultRowHeight="13" x14ac:dyDescent="0.2"/>
  <cols>
    <col min="1" max="1" width="5" customWidth="1"/>
    <col min="2" max="2" width="7" customWidth="1"/>
    <col min="3" max="3" width="22" customWidth="1"/>
    <col min="4" max="4" width="9" customWidth="1"/>
    <col min="5" max="5" width="71.08984375" customWidth="1"/>
    <col min="6" max="9" width="7" customWidth="1"/>
    <col min="10" max="10" width="30" customWidth="1"/>
    <col min="11" max="11" width="44" customWidth="1"/>
    <col min="12" max="12" width="30" customWidth="1"/>
    <col min="13" max="13" width="18" customWidth="1"/>
  </cols>
  <sheetData>
    <row r="1" spans="1:13" ht="6" customHeight="1" x14ac:dyDescent="0.2"/>
    <row r="2" spans="1:13" ht="26" customHeight="1" x14ac:dyDescent="0.2">
      <c r="A2" s="14" t="s">
        <v>252</v>
      </c>
      <c r="B2" s="12"/>
      <c r="C2" s="12"/>
      <c r="D2" s="12"/>
      <c r="E2" s="12"/>
      <c r="F2" s="12"/>
      <c r="G2" s="12"/>
      <c r="H2" s="12"/>
      <c r="I2" s="12"/>
      <c r="J2" s="12"/>
      <c r="K2" s="12"/>
      <c r="L2" s="12"/>
      <c r="M2" s="12"/>
    </row>
    <row r="3" spans="1:13" ht="18" customHeight="1" x14ac:dyDescent="0.2">
      <c r="A3" s="13" t="s">
        <v>1</v>
      </c>
      <c r="B3" s="12"/>
      <c r="C3" s="12"/>
      <c r="D3" s="12"/>
      <c r="E3" s="12"/>
      <c r="F3" s="12"/>
      <c r="G3" s="12"/>
      <c r="H3" s="12"/>
      <c r="I3" s="12"/>
      <c r="J3" s="12"/>
      <c r="K3" s="12"/>
      <c r="L3" s="12"/>
      <c r="M3" s="12"/>
    </row>
    <row r="4" spans="1:13" ht="15" customHeight="1" x14ac:dyDescent="0.2">
      <c r="A4" s="11" t="s">
        <v>2</v>
      </c>
      <c r="B4" s="12"/>
      <c r="C4" s="12"/>
      <c r="D4" s="12"/>
      <c r="E4" s="12"/>
      <c r="F4" s="12"/>
      <c r="G4" s="12"/>
      <c r="H4" s="12"/>
      <c r="I4" s="12"/>
      <c r="J4" s="12"/>
      <c r="K4" s="12"/>
      <c r="L4" s="12"/>
      <c r="M4" s="12"/>
    </row>
    <row r="5" spans="1:13" ht="4" customHeight="1" x14ac:dyDescent="0.2"/>
    <row r="6" spans="1:13" ht="32" customHeight="1" x14ac:dyDescent="0.2">
      <c r="A6" s="1" t="s">
        <v>3</v>
      </c>
      <c r="B6" s="1" t="s">
        <v>4</v>
      </c>
      <c r="C6" s="1" t="s">
        <v>5</v>
      </c>
      <c r="D6" s="1" t="s">
        <v>253</v>
      </c>
      <c r="E6" s="1" t="s">
        <v>254</v>
      </c>
      <c r="F6" s="1" t="s">
        <v>11</v>
      </c>
      <c r="G6" s="1" t="s">
        <v>12</v>
      </c>
      <c r="H6" s="2" t="s">
        <v>255</v>
      </c>
      <c r="I6" s="2" t="s">
        <v>14</v>
      </c>
      <c r="J6" s="2" t="s">
        <v>256</v>
      </c>
      <c r="K6" s="1" t="s">
        <v>257</v>
      </c>
      <c r="L6" s="1" t="s">
        <v>17</v>
      </c>
      <c r="M6" s="1" t="s">
        <v>18</v>
      </c>
    </row>
    <row r="7" spans="1:13" ht="15" customHeight="1" x14ac:dyDescent="0.2">
      <c r="A7" s="3">
        <v>1</v>
      </c>
      <c r="B7" s="3">
        <v>1</v>
      </c>
      <c r="C7" s="3" t="s">
        <v>19</v>
      </c>
      <c r="D7" s="3" t="s">
        <v>258</v>
      </c>
      <c r="E7" s="7" t="s">
        <v>259</v>
      </c>
      <c r="F7" s="4" t="s">
        <v>23</v>
      </c>
      <c r="G7" s="4"/>
      <c r="H7" s="5" t="s">
        <v>24</v>
      </c>
      <c r="I7" s="5" t="s">
        <v>24</v>
      </c>
      <c r="J7" s="6"/>
      <c r="K7" s="3"/>
      <c r="L7" s="3" t="s">
        <v>260</v>
      </c>
      <c r="M7" s="3"/>
    </row>
    <row r="8" spans="1:13" ht="15" customHeight="1" x14ac:dyDescent="0.2">
      <c r="A8" s="3">
        <v>2</v>
      </c>
      <c r="B8" s="3">
        <v>1</v>
      </c>
      <c r="C8" s="3" t="s">
        <v>19</v>
      </c>
      <c r="D8" s="3" t="s">
        <v>261</v>
      </c>
      <c r="E8" s="7" t="s">
        <v>262</v>
      </c>
      <c r="F8" s="4" t="s">
        <v>23</v>
      </c>
      <c r="G8" s="4"/>
      <c r="H8" s="5" t="s">
        <v>24</v>
      </c>
      <c r="I8" s="5" t="s">
        <v>24</v>
      </c>
      <c r="J8" s="6"/>
      <c r="K8" s="3"/>
      <c r="L8" s="3" t="s">
        <v>260</v>
      </c>
      <c r="M8" s="3"/>
    </row>
    <row r="9" spans="1:13" ht="15" customHeight="1" x14ac:dyDescent="0.2">
      <c r="A9" s="3">
        <v>3</v>
      </c>
      <c r="B9" s="3">
        <v>1</v>
      </c>
      <c r="C9" s="3" t="s">
        <v>19</v>
      </c>
      <c r="D9" s="3" t="s">
        <v>263</v>
      </c>
      <c r="E9" s="7" t="s">
        <v>264</v>
      </c>
      <c r="F9" s="4" t="s">
        <v>23</v>
      </c>
      <c r="G9" s="4"/>
      <c r="H9" s="5" t="s">
        <v>24</v>
      </c>
      <c r="I9" s="5" t="s">
        <v>24</v>
      </c>
      <c r="J9" s="6"/>
      <c r="K9" s="3"/>
      <c r="L9" s="3" t="s">
        <v>260</v>
      </c>
      <c r="M9" s="3"/>
    </row>
    <row r="10" spans="1:13" ht="15" customHeight="1" x14ac:dyDescent="0.2">
      <c r="A10" s="3">
        <v>4</v>
      </c>
      <c r="B10" s="3">
        <v>1</v>
      </c>
      <c r="C10" s="3" t="s">
        <v>19</v>
      </c>
      <c r="D10" s="3" t="s">
        <v>265</v>
      </c>
      <c r="E10" s="7" t="s">
        <v>266</v>
      </c>
      <c r="F10" s="4" t="s">
        <v>23</v>
      </c>
      <c r="G10" s="4"/>
      <c r="H10" s="5" t="s">
        <v>24</v>
      </c>
      <c r="I10" s="5" t="s">
        <v>24</v>
      </c>
      <c r="J10" s="6"/>
      <c r="K10" s="3"/>
      <c r="L10" s="3" t="s">
        <v>260</v>
      </c>
      <c r="M10" s="3"/>
    </row>
    <row r="11" spans="1:13" ht="15" customHeight="1" x14ac:dyDescent="0.2">
      <c r="A11" s="3">
        <v>5</v>
      </c>
      <c r="B11" s="3">
        <v>1</v>
      </c>
      <c r="C11" s="3" t="s">
        <v>19</v>
      </c>
      <c r="D11" s="3" t="s">
        <v>267</v>
      </c>
      <c r="E11" s="7" t="s">
        <v>268</v>
      </c>
      <c r="F11" s="4" t="s">
        <v>23</v>
      </c>
      <c r="G11" s="4"/>
      <c r="H11" s="5" t="s">
        <v>24</v>
      </c>
      <c r="I11" s="5" t="s">
        <v>24</v>
      </c>
      <c r="J11" s="6"/>
      <c r="K11" s="3"/>
      <c r="L11" s="3" t="s">
        <v>260</v>
      </c>
      <c r="M11" s="3"/>
    </row>
    <row r="12" spans="1:13" ht="15" customHeight="1" x14ac:dyDescent="0.2">
      <c r="A12" s="3">
        <v>6</v>
      </c>
      <c r="B12" s="3">
        <v>1</v>
      </c>
      <c r="C12" s="3" t="s">
        <v>19</v>
      </c>
      <c r="D12" s="3" t="s">
        <v>269</v>
      </c>
      <c r="E12" s="7" t="s">
        <v>270</v>
      </c>
      <c r="F12" s="4" t="s">
        <v>23</v>
      </c>
      <c r="G12" s="4"/>
      <c r="H12" s="5" t="s">
        <v>24</v>
      </c>
      <c r="I12" s="5" t="s">
        <v>24</v>
      </c>
      <c r="J12" s="6"/>
      <c r="K12" s="3"/>
      <c r="L12" s="3" t="s">
        <v>260</v>
      </c>
      <c r="M12" s="3"/>
    </row>
    <row r="13" spans="1:13" ht="15" customHeight="1" x14ac:dyDescent="0.2">
      <c r="A13" s="3">
        <v>7</v>
      </c>
      <c r="B13" s="3">
        <v>1</v>
      </c>
      <c r="C13" s="3" t="s">
        <v>19</v>
      </c>
      <c r="D13" s="3" t="s">
        <v>271</v>
      </c>
      <c r="E13" s="7" t="s">
        <v>272</v>
      </c>
      <c r="F13" s="4" t="s">
        <v>23</v>
      </c>
      <c r="G13" s="4"/>
      <c r="H13" s="5" t="s">
        <v>24</v>
      </c>
      <c r="I13" s="5" t="s">
        <v>24</v>
      </c>
      <c r="J13" s="6"/>
      <c r="K13" s="3"/>
      <c r="L13" s="3" t="s">
        <v>260</v>
      </c>
      <c r="M13" s="3"/>
    </row>
    <row r="14" spans="1:13" ht="15" customHeight="1" x14ac:dyDescent="0.2">
      <c r="A14" s="3">
        <v>8</v>
      </c>
      <c r="B14" s="3">
        <v>2</v>
      </c>
      <c r="C14" s="3" t="s">
        <v>40</v>
      </c>
      <c r="D14" s="3" t="s">
        <v>273</v>
      </c>
      <c r="E14" s="7" t="s">
        <v>259</v>
      </c>
      <c r="F14" s="4" t="s">
        <v>23</v>
      </c>
      <c r="G14" s="4"/>
      <c r="H14" s="5" t="s">
        <v>24</v>
      </c>
      <c r="I14" s="5" t="s">
        <v>24</v>
      </c>
      <c r="J14" s="6"/>
      <c r="K14" s="3"/>
      <c r="L14" s="3" t="s">
        <v>260</v>
      </c>
      <c r="M14" s="3"/>
    </row>
    <row r="15" spans="1:13" ht="15" customHeight="1" x14ac:dyDescent="0.2">
      <c r="A15" s="3">
        <v>9</v>
      </c>
      <c r="B15" s="3">
        <v>2</v>
      </c>
      <c r="C15" s="3" t="s">
        <v>40</v>
      </c>
      <c r="D15" s="3" t="s">
        <v>274</v>
      </c>
      <c r="E15" s="7" t="s">
        <v>275</v>
      </c>
      <c r="F15" s="4" t="s">
        <v>23</v>
      </c>
      <c r="G15" s="4"/>
      <c r="H15" s="5" t="s">
        <v>24</v>
      </c>
      <c r="I15" s="5" t="s">
        <v>24</v>
      </c>
      <c r="J15" s="6"/>
      <c r="K15" s="3"/>
      <c r="L15" s="3" t="s">
        <v>260</v>
      </c>
      <c r="M15" s="3"/>
    </row>
    <row r="16" spans="1:13" ht="15" customHeight="1" x14ac:dyDescent="0.2">
      <c r="A16" s="3">
        <v>10</v>
      </c>
      <c r="B16" s="3">
        <v>2</v>
      </c>
      <c r="C16" s="3" t="s">
        <v>40</v>
      </c>
      <c r="D16" s="3" t="s">
        <v>276</v>
      </c>
      <c r="E16" s="7" t="s">
        <v>277</v>
      </c>
      <c r="F16" s="4" t="s">
        <v>23</v>
      </c>
      <c r="G16" s="4"/>
      <c r="H16" s="5" t="s">
        <v>24</v>
      </c>
      <c r="I16" s="5" t="s">
        <v>24</v>
      </c>
      <c r="J16" s="6"/>
      <c r="K16" s="3"/>
      <c r="L16" s="3" t="s">
        <v>260</v>
      </c>
      <c r="M16" s="3"/>
    </row>
    <row r="17" spans="1:13" ht="15" customHeight="1" x14ac:dyDescent="0.2">
      <c r="A17" s="3">
        <v>11</v>
      </c>
      <c r="B17" s="3">
        <v>2</v>
      </c>
      <c r="C17" s="3" t="s">
        <v>40</v>
      </c>
      <c r="D17" s="3" t="s">
        <v>278</v>
      </c>
      <c r="E17" s="7" t="s">
        <v>279</v>
      </c>
      <c r="F17" s="4" t="s">
        <v>23</v>
      </c>
      <c r="G17" s="4"/>
      <c r="H17" s="5" t="s">
        <v>24</v>
      </c>
      <c r="I17" s="5" t="s">
        <v>24</v>
      </c>
      <c r="J17" s="6"/>
      <c r="K17" s="3"/>
      <c r="L17" s="3" t="s">
        <v>260</v>
      </c>
      <c r="M17" s="3"/>
    </row>
    <row r="18" spans="1:13" ht="15" customHeight="1" x14ac:dyDescent="0.2">
      <c r="A18" s="3">
        <v>12</v>
      </c>
      <c r="B18" s="3">
        <v>2</v>
      </c>
      <c r="C18" s="3" t="s">
        <v>40</v>
      </c>
      <c r="D18" s="3" t="s">
        <v>280</v>
      </c>
      <c r="E18" s="7" t="s">
        <v>281</v>
      </c>
      <c r="F18" s="4" t="s">
        <v>23</v>
      </c>
      <c r="G18" s="4"/>
      <c r="H18" s="5" t="s">
        <v>24</v>
      </c>
      <c r="I18" s="5" t="s">
        <v>24</v>
      </c>
      <c r="J18" s="6"/>
      <c r="K18" s="3"/>
      <c r="L18" s="3" t="s">
        <v>260</v>
      </c>
      <c r="M18" s="3"/>
    </row>
    <row r="19" spans="1:13" ht="15" customHeight="1" x14ac:dyDescent="0.2">
      <c r="A19" s="3">
        <v>13</v>
      </c>
      <c r="B19" s="3">
        <v>2</v>
      </c>
      <c r="C19" s="3" t="s">
        <v>40</v>
      </c>
      <c r="D19" s="3" t="s">
        <v>282</v>
      </c>
      <c r="E19" s="7" t="s">
        <v>283</v>
      </c>
      <c r="F19" s="4" t="s">
        <v>23</v>
      </c>
      <c r="G19" s="4"/>
      <c r="H19" s="5" t="s">
        <v>24</v>
      </c>
      <c r="I19" s="5" t="s">
        <v>24</v>
      </c>
      <c r="J19" s="6"/>
      <c r="K19" s="3"/>
      <c r="L19" s="3" t="s">
        <v>260</v>
      </c>
      <c r="M19" s="3"/>
    </row>
    <row r="20" spans="1:13" ht="15" customHeight="1" x14ac:dyDescent="0.2">
      <c r="A20" s="3">
        <v>14</v>
      </c>
      <c r="B20" s="3">
        <v>3</v>
      </c>
      <c r="C20" s="3" t="s">
        <v>47</v>
      </c>
      <c r="D20" s="3" t="s">
        <v>284</v>
      </c>
      <c r="E20" s="7" t="s">
        <v>259</v>
      </c>
      <c r="F20" s="4" t="s">
        <v>23</v>
      </c>
      <c r="G20" s="4"/>
      <c r="H20" s="5" t="s">
        <v>24</v>
      </c>
      <c r="I20" s="5" t="s">
        <v>24</v>
      </c>
      <c r="J20" s="6"/>
      <c r="K20" s="3"/>
      <c r="L20" s="3" t="s">
        <v>260</v>
      </c>
      <c r="M20" s="3"/>
    </row>
    <row r="21" spans="1:13" ht="15" customHeight="1" x14ac:dyDescent="0.2">
      <c r="A21" s="3">
        <v>15</v>
      </c>
      <c r="B21" s="3">
        <v>3</v>
      </c>
      <c r="C21" s="3" t="s">
        <v>47</v>
      </c>
      <c r="D21" s="3" t="s">
        <v>285</v>
      </c>
      <c r="E21" s="7" t="s">
        <v>286</v>
      </c>
      <c r="F21" s="4" t="s">
        <v>23</v>
      </c>
      <c r="G21" s="4"/>
      <c r="H21" s="5" t="s">
        <v>24</v>
      </c>
      <c r="I21" s="5" t="s">
        <v>24</v>
      </c>
      <c r="J21" s="6"/>
      <c r="K21" s="3"/>
      <c r="L21" s="3" t="s">
        <v>260</v>
      </c>
      <c r="M21" s="3"/>
    </row>
    <row r="22" spans="1:13" ht="15" customHeight="1" x14ac:dyDescent="0.2">
      <c r="A22" s="3">
        <v>16</v>
      </c>
      <c r="B22" s="3">
        <v>3</v>
      </c>
      <c r="C22" s="3" t="s">
        <v>47</v>
      </c>
      <c r="D22" s="3" t="s">
        <v>287</v>
      </c>
      <c r="E22" s="7" t="s">
        <v>288</v>
      </c>
      <c r="F22" s="4" t="s">
        <v>23</v>
      </c>
      <c r="G22" s="4"/>
      <c r="H22" s="5" t="s">
        <v>24</v>
      </c>
      <c r="I22" s="5" t="s">
        <v>24</v>
      </c>
      <c r="J22" s="6"/>
      <c r="K22" s="3"/>
      <c r="L22" s="3" t="s">
        <v>260</v>
      </c>
      <c r="M22" s="3"/>
    </row>
    <row r="23" spans="1:13" ht="15" customHeight="1" x14ac:dyDescent="0.2">
      <c r="A23" s="3">
        <v>17</v>
      </c>
      <c r="B23" s="3">
        <v>3</v>
      </c>
      <c r="C23" s="3" t="s">
        <v>47</v>
      </c>
      <c r="D23" s="3" t="s">
        <v>289</v>
      </c>
      <c r="E23" s="7" t="s">
        <v>290</v>
      </c>
      <c r="F23" s="4" t="s">
        <v>23</v>
      </c>
      <c r="G23" s="4"/>
      <c r="H23" s="5" t="s">
        <v>24</v>
      </c>
      <c r="I23" s="5" t="s">
        <v>24</v>
      </c>
      <c r="J23" s="6"/>
      <c r="K23" s="3"/>
      <c r="L23" s="3" t="s">
        <v>260</v>
      </c>
      <c r="M23" s="3"/>
    </row>
    <row r="24" spans="1:13" ht="15" customHeight="1" x14ac:dyDescent="0.2">
      <c r="A24" s="3">
        <v>18</v>
      </c>
      <c r="B24" s="3">
        <v>3</v>
      </c>
      <c r="C24" s="3" t="s">
        <v>47</v>
      </c>
      <c r="D24" s="3" t="s">
        <v>291</v>
      </c>
      <c r="E24" s="7" t="s">
        <v>292</v>
      </c>
      <c r="F24" s="4" t="s">
        <v>23</v>
      </c>
      <c r="G24" s="4"/>
      <c r="H24" s="5" t="s">
        <v>24</v>
      </c>
      <c r="I24" s="5" t="s">
        <v>24</v>
      </c>
      <c r="J24" s="6"/>
      <c r="K24" s="3"/>
      <c r="L24" s="3" t="s">
        <v>260</v>
      </c>
      <c r="M24" s="3"/>
    </row>
    <row r="25" spans="1:13" ht="15" customHeight="1" x14ac:dyDescent="0.2">
      <c r="A25" s="3">
        <v>19</v>
      </c>
      <c r="B25" s="3">
        <v>3</v>
      </c>
      <c r="C25" s="3" t="s">
        <v>47</v>
      </c>
      <c r="D25" s="3" t="s">
        <v>293</v>
      </c>
      <c r="E25" s="7" t="s">
        <v>294</v>
      </c>
      <c r="F25" s="4" t="s">
        <v>23</v>
      </c>
      <c r="G25" s="4"/>
      <c r="H25" s="5" t="s">
        <v>24</v>
      </c>
      <c r="I25" s="5" t="s">
        <v>24</v>
      </c>
      <c r="J25" s="6"/>
      <c r="K25" s="3"/>
      <c r="L25" s="3" t="s">
        <v>260</v>
      </c>
      <c r="M25" s="3"/>
    </row>
    <row r="26" spans="1:13" ht="15" customHeight="1" x14ac:dyDescent="0.2">
      <c r="A26" s="3">
        <v>20</v>
      </c>
      <c r="B26" s="3">
        <v>3</v>
      </c>
      <c r="C26" s="3" t="s">
        <v>47</v>
      </c>
      <c r="D26" s="3" t="s">
        <v>295</v>
      </c>
      <c r="E26" s="7" t="s">
        <v>296</v>
      </c>
      <c r="F26" s="4" t="s">
        <v>23</v>
      </c>
      <c r="G26" s="4"/>
      <c r="H26" s="5" t="s">
        <v>24</v>
      </c>
      <c r="I26" s="5" t="s">
        <v>24</v>
      </c>
      <c r="J26" s="6"/>
      <c r="K26" s="3"/>
      <c r="L26" s="3" t="s">
        <v>260</v>
      </c>
      <c r="M26" s="3"/>
    </row>
    <row r="27" spans="1:13" ht="15" customHeight="1" x14ac:dyDescent="0.2">
      <c r="A27" s="3">
        <v>21</v>
      </c>
      <c r="B27" s="3">
        <v>3</v>
      </c>
      <c r="C27" s="3" t="s">
        <v>47</v>
      </c>
      <c r="D27" s="3" t="s">
        <v>297</v>
      </c>
      <c r="E27" s="7" t="s">
        <v>298</v>
      </c>
      <c r="F27" s="4" t="s">
        <v>23</v>
      </c>
      <c r="G27" s="4"/>
      <c r="H27" s="5" t="s">
        <v>24</v>
      </c>
      <c r="I27" s="5" t="s">
        <v>24</v>
      </c>
      <c r="J27" s="6"/>
      <c r="K27" s="3"/>
      <c r="L27" s="3" t="s">
        <v>260</v>
      </c>
      <c r="M27" s="3"/>
    </row>
    <row r="28" spans="1:13" ht="15" customHeight="1" x14ac:dyDescent="0.2">
      <c r="A28" s="3">
        <v>22</v>
      </c>
      <c r="B28" s="3">
        <v>4</v>
      </c>
      <c r="C28" s="3" t="s">
        <v>64</v>
      </c>
      <c r="D28" s="3" t="s">
        <v>299</v>
      </c>
      <c r="E28" s="7" t="s">
        <v>259</v>
      </c>
      <c r="F28" s="4" t="s">
        <v>23</v>
      </c>
      <c r="G28" s="4" t="s">
        <v>23</v>
      </c>
      <c r="H28" s="5" t="s">
        <v>24</v>
      </c>
      <c r="I28" s="5" t="s">
        <v>24</v>
      </c>
      <c r="J28" s="6"/>
      <c r="K28" s="3" t="s">
        <v>300</v>
      </c>
      <c r="L28" s="3" t="s">
        <v>301</v>
      </c>
      <c r="M28" s="3"/>
    </row>
    <row r="29" spans="1:13" ht="15" customHeight="1" x14ac:dyDescent="0.2">
      <c r="A29" s="3">
        <v>23</v>
      </c>
      <c r="B29" s="3">
        <v>4</v>
      </c>
      <c r="C29" s="3" t="s">
        <v>64</v>
      </c>
      <c r="D29" s="3" t="s">
        <v>302</v>
      </c>
      <c r="E29" s="7" t="s">
        <v>303</v>
      </c>
      <c r="F29" s="4" t="s">
        <v>23</v>
      </c>
      <c r="G29" s="4" t="s">
        <v>23</v>
      </c>
      <c r="H29" s="5" t="s">
        <v>24</v>
      </c>
      <c r="I29" s="5" t="s">
        <v>24</v>
      </c>
      <c r="J29" s="6"/>
      <c r="K29" s="3" t="s">
        <v>300</v>
      </c>
      <c r="L29" s="3" t="s">
        <v>301</v>
      </c>
      <c r="M29" s="3"/>
    </row>
    <row r="30" spans="1:13" ht="15" customHeight="1" x14ac:dyDescent="0.2">
      <c r="A30" s="3">
        <v>24</v>
      </c>
      <c r="B30" s="3">
        <v>4</v>
      </c>
      <c r="C30" s="3" t="s">
        <v>64</v>
      </c>
      <c r="D30" s="3" t="s">
        <v>304</v>
      </c>
      <c r="E30" s="7" t="s">
        <v>305</v>
      </c>
      <c r="F30" s="4" t="s">
        <v>23</v>
      </c>
      <c r="G30" s="4" t="s">
        <v>23</v>
      </c>
      <c r="H30" s="5" t="s">
        <v>24</v>
      </c>
      <c r="I30" s="5" t="s">
        <v>24</v>
      </c>
      <c r="J30" s="6"/>
      <c r="K30" s="3" t="s">
        <v>300</v>
      </c>
      <c r="L30" s="3" t="s">
        <v>301</v>
      </c>
      <c r="M30" s="3"/>
    </row>
    <row r="31" spans="1:13" ht="15" customHeight="1" x14ac:dyDescent="0.2">
      <c r="A31" s="3">
        <v>25</v>
      </c>
      <c r="B31" s="3">
        <v>4</v>
      </c>
      <c r="C31" s="3" t="s">
        <v>64</v>
      </c>
      <c r="D31" s="3" t="s">
        <v>306</v>
      </c>
      <c r="E31" s="7" t="s">
        <v>307</v>
      </c>
      <c r="F31" s="4" t="s">
        <v>23</v>
      </c>
      <c r="G31" s="4" t="s">
        <v>23</v>
      </c>
      <c r="H31" s="5" t="s">
        <v>24</v>
      </c>
      <c r="I31" s="5" t="s">
        <v>24</v>
      </c>
      <c r="J31" s="6"/>
      <c r="K31" s="3" t="s">
        <v>300</v>
      </c>
      <c r="L31" s="3" t="s">
        <v>301</v>
      </c>
      <c r="M31" s="3"/>
    </row>
    <row r="32" spans="1:13" ht="15" customHeight="1" x14ac:dyDescent="0.2">
      <c r="A32" s="3">
        <v>26</v>
      </c>
      <c r="B32" s="3">
        <v>4</v>
      </c>
      <c r="C32" s="3" t="s">
        <v>64</v>
      </c>
      <c r="D32" s="3" t="s">
        <v>308</v>
      </c>
      <c r="E32" s="7" t="s">
        <v>309</v>
      </c>
      <c r="F32" s="4" t="s">
        <v>23</v>
      </c>
      <c r="G32" s="4" t="s">
        <v>23</v>
      </c>
      <c r="H32" s="5" t="s">
        <v>24</v>
      </c>
      <c r="I32" s="5" t="s">
        <v>24</v>
      </c>
      <c r="J32" s="6"/>
      <c r="K32" s="3" t="s">
        <v>300</v>
      </c>
      <c r="L32" s="3" t="s">
        <v>301</v>
      </c>
      <c r="M32" s="3"/>
    </row>
    <row r="33" spans="1:13" ht="15" customHeight="1" x14ac:dyDescent="0.2">
      <c r="A33" s="3">
        <v>27</v>
      </c>
      <c r="B33" s="3">
        <v>4</v>
      </c>
      <c r="C33" s="3" t="s">
        <v>64</v>
      </c>
      <c r="D33" s="3" t="s">
        <v>310</v>
      </c>
      <c r="E33" s="7" t="s">
        <v>311</v>
      </c>
      <c r="F33" s="4" t="s">
        <v>23</v>
      </c>
      <c r="G33" s="4" t="s">
        <v>23</v>
      </c>
      <c r="H33" s="5" t="s">
        <v>24</v>
      </c>
      <c r="I33" s="5" t="s">
        <v>24</v>
      </c>
      <c r="J33" s="6"/>
      <c r="K33" s="3" t="s">
        <v>300</v>
      </c>
      <c r="L33" s="3" t="s">
        <v>301</v>
      </c>
      <c r="M33" s="3"/>
    </row>
    <row r="34" spans="1:13" ht="15" customHeight="1" x14ac:dyDescent="0.2">
      <c r="A34" s="3">
        <v>28</v>
      </c>
      <c r="B34" s="3">
        <v>4</v>
      </c>
      <c r="C34" s="3" t="s">
        <v>64</v>
      </c>
      <c r="D34" s="3" t="s">
        <v>312</v>
      </c>
      <c r="E34" s="7" t="s">
        <v>313</v>
      </c>
      <c r="F34" s="4" t="s">
        <v>23</v>
      </c>
      <c r="G34" s="4" t="s">
        <v>23</v>
      </c>
      <c r="H34" s="5" t="s">
        <v>24</v>
      </c>
      <c r="I34" s="5" t="s">
        <v>24</v>
      </c>
      <c r="J34" s="6"/>
      <c r="K34" s="3" t="s">
        <v>300</v>
      </c>
      <c r="L34" s="3" t="s">
        <v>301</v>
      </c>
      <c r="M34" s="3"/>
    </row>
    <row r="35" spans="1:13" ht="15" customHeight="1" x14ac:dyDescent="0.2">
      <c r="A35" s="3">
        <v>29</v>
      </c>
      <c r="B35" s="3">
        <v>5</v>
      </c>
      <c r="C35" s="3" t="s">
        <v>76</v>
      </c>
      <c r="D35" s="3" t="s">
        <v>314</v>
      </c>
      <c r="E35" s="7" t="s">
        <v>259</v>
      </c>
      <c r="F35" s="4" t="s">
        <v>23</v>
      </c>
      <c r="G35" s="4" t="s">
        <v>23</v>
      </c>
      <c r="H35" s="5" t="s">
        <v>24</v>
      </c>
      <c r="I35" s="5" t="s">
        <v>24</v>
      </c>
      <c r="J35" s="6"/>
      <c r="K35" s="3" t="s">
        <v>315</v>
      </c>
      <c r="L35" s="3" t="s">
        <v>316</v>
      </c>
      <c r="M35" s="3"/>
    </row>
    <row r="36" spans="1:13" ht="15" customHeight="1" x14ac:dyDescent="0.2">
      <c r="A36" s="3">
        <v>30</v>
      </c>
      <c r="B36" s="3">
        <v>5</v>
      </c>
      <c r="C36" s="3" t="s">
        <v>76</v>
      </c>
      <c r="D36" s="3" t="s">
        <v>317</v>
      </c>
      <c r="E36" s="7" t="s">
        <v>318</v>
      </c>
      <c r="F36" s="4" t="s">
        <v>23</v>
      </c>
      <c r="G36" s="4" t="s">
        <v>23</v>
      </c>
      <c r="H36" s="5" t="s">
        <v>24</v>
      </c>
      <c r="I36" s="5" t="s">
        <v>24</v>
      </c>
      <c r="J36" s="6"/>
      <c r="K36" s="3" t="s">
        <v>315</v>
      </c>
      <c r="L36" s="3" t="s">
        <v>316</v>
      </c>
      <c r="M36" s="3"/>
    </row>
    <row r="37" spans="1:13" ht="15" customHeight="1" x14ac:dyDescent="0.2">
      <c r="A37" s="3">
        <v>31</v>
      </c>
      <c r="B37" s="3">
        <v>5</v>
      </c>
      <c r="C37" s="3" t="s">
        <v>76</v>
      </c>
      <c r="D37" s="3" t="s">
        <v>319</v>
      </c>
      <c r="E37" s="7" t="s">
        <v>320</v>
      </c>
      <c r="F37" s="4" t="s">
        <v>23</v>
      </c>
      <c r="G37" s="4" t="s">
        <v>23</v>
      </c>
      <c r="H37" s="5" t="s">
        <v>24</v>
      </c>
      <c r="I37" s="5" t="s">
        <v>24</v>
      </c>
      <c r="J37" s="6"/>
      <c r="K37" s="3" t="s">
        <v>315</v>
      </c>
      <c r="L37" s="3" t="s">
        <v>316</v>
      </c>
      <c r="M37" s="3"/>
    </row>
    <row r="38" spans="1:13" ht="15" customHeight="1" x14ac:dyDescent="0.2">
      <c r="A38" s="3">
        <v>32</v>
      </c>
      <c r="B38" s="3">
        <v>5</v>
      </c>
      <c r="C38" s="3" t="s">
        <v>76</v>
      </c>
      <c r="D38" s="3" t="s">
        <v>321</v>
      </c>
      <c r="E38" s="7" t="s">
        <v>322</v>
      </c>
      <c r="F38" s="4" t="s">
        <v>23</v>
      </c>
      <c r="G38" s="4" t="s">
        <v>23</v>
      </c>
      <c r="H38" s="5" t="s">
        <v>24</v>
      </c>
      <c r="I38" s="5" t="s">
        <v>24</v>
      </c>
      <c r="J38" s="6"/>
      <c r="K38" s="3" t="s">
        <v>315</v>
      </c>
      <c r="L38" s="3" t="s">
        <v>316</v>
      </c>
      <c r="M38" s="3"/>
    </row>
    <row r="39" spans="1:13" ht="15" customHeight="1" x14ac:dyDescent="0.2">
      <c r="A39" s="3">
        <v>33</v>
      </c>
      <c r="B39" s="3">
        <v>5</v>
      </c>
      <c r="C39" s="3" t="s">
        <v>76</v>
      </c>
      <c r="D39" s="3" t="s">
        <v>323</v>
      </c>
      <c r="E39" s="7" t="s">
        <v>324</v>
      </c>
      <c r="F39" s="4" t="s">
        <v>23</v>
      </c>
      <c r="G39" s="4" t="s">
        <v>23</v>
      </c>
      <c r="H39" s="5" t="s">
        <v>24</v>
      </c>
      <c r="I39" s="5" t="s">
        <v>24</v>
      </c>
      <c r="J39" s="6"/>
      <c r="K39" s="3" t="s">
        <v>315</v>
      </c>
      <c r="L39" s="3" t="s">
        <v>316</v>
      </c>
      <c r="M39" s="3"/>
    </row>
    <row r="40" spans="1:13" ht="15" customHeight="1" x14ac:dyDescent="0.2">
      <c r="A40" s="3">
        <v>34</v>
      </c>
      <c r="B40" s="3">
        <v>6</v>
      </c>
      <c r="C40" s="3" t="s">
        <v>85</v>
      </c>
      <c r="D40" s="3" t="s">
        <v>325</v>
      </c>
      <c r="E40" s="7" t="s">
        <v>259</v>
      </c>
      <c r="F40" s="4" t="s">
        <v>23</v>
      </c>
      <c r="G40" s="4" t="s">
        <v>23</v>
      </c>
      <c r="H40" s="5" t="s">
        <v>24</v>
      </c>
      <c r="I40" s="5" t="s">
        <v>24</v>
      </c>
      <c r="J40" s="6"/>
      <c r="K40" s="3" t="s">
        <v>326</v>
      </c>
      <c r="L40" s="3" t="s">
        <v>327</v>
      </c>
      <c r="M40" s="3"/>
    </row>
    <row r="41" spans="1:13" ht="15" customHeight="1" x14ac:dyDescent="0.2">
      <c r="A41" s="3">
        <v>35</v>
      </c>
      <c r="B41" s="3">
        <v>6</v>
      </c>
      <c r="C41" s="3" t="s">
        <v>85</v>
      </c>
      <c r="D41" s="3" t="s">
        <v>328</v>
      </c>
      <c r="E41" s="7" t="s">
        <v>303</v>
      </c>
      <c r="F41" s="4" t="s">
        <v>23</v>
      </c>
      <c r="G41" s="4" t="s">
        <v>23</v>
      </c>
      <c r="H41" s="5" t="s">
        <v>24</v>
      </c>
      <c r="I41" s="5" t="s">
        <v>24</v>
      </c>
      <c r="J41" s="6"/>
      <c r="K41" s="3" t="s">
        <v>326</v>
      </c>
      <c r="L41" s="3" t="s">
        <v>327</v>
      </c>
      <c r="M41" s="3"/>
    </row>
    <row r="42" spans="1:13" ht="15" customHeight="1" x14ac:dyDescent="0.2">
      <c r="A42" s="3">
        <v>36</v>
      </c>
      <c r="B42" s="3">
        <v>6</v>
      </c>
      <c r="C42" s="3" t="s">
        <v>85</v>
      </c>
      <c r="D42" s="3" t="s">
        <v>329</v>
      </c>
      <c r="E42" s="7" t="s">
        <v>330</v>
      </c>
      <c r="F42" s="4" t="s">
        <v>23</v>
      </c>
      <c r="G42" s="4" t="s">
        <v>23</v>
      </c>
      <c r="H42" s="5" t="s">
        <v>24</v>
      </c>
      <c r="I42" s="5" t="s">
        <v>24</v>
      </c>
      <c r="J42" s="6"/>
      <c r="K42" s="3" t="s">
        <v>326</v>
      </c>
      <c r="L42" s="3" t="s">
        <v>327</v>
      </c>
      <c r="M42" s="3"/>
    </row>
    <row r="43" spans="1:13" ht="15" customHeight="1" x14ac:dyDescent="0.2">
      <c r="A43" s="3">
        <v>37</v>
      </c>
      <c r="B43" s="3">
        <v>6</v>
      </c>
      <c r="C43" s="3" t="s">
        <v>85</v>
      </c>
      <c r="D43" s="3" t="s">
        <v>331</v>
      </c>
      <c r="E43" s="7" t="s">
        <v>332</v>
      </c>
      <c r="F43" s="4" t="s">
        <v>23</v>
      </c>
      <c r="G43" s="4" t="s">
        <v>23</v>
      </c>
      <c r="H43" s="5" t="s">
        <v>24</v>
      </c>
      <c r="I43" s="5" t="s">
        <v>24</v>
      </c>
      <c r="J43" s="6"/>
      <c r="K43" s="3" t="s">
        <v>326</v>
      </c>
      <c r="L43" s="3" t="s">
        <v>327</v>
      </c>
      <c r="M43" s="3"/>
    </row>
    <row r="44" spans="1:13" ht="15" customHeight="1" x14ac:dyDescent="0.2">
      <c r="A44" s="3">
        <v>38</v>
      </c>
      <c r="B44" s="3">
        <v>6</v>
      </c>
      <c r="C44" s="3" t="s">
        <v>85</v>
      </c>
      <c r="D44" s="3" t="s">
        <v>333</v>
      </c>
      <c r="E44" s="7" t="s">
        <v>334</v>
      </c>
      <c r="F44" s="4" t="s">
        <v>23</v>
      </c>
      <c r="G44" s="4" t="s">
        <v>23</v>
      </c>
      <c r="H44" s="5" t="s">
        <v>24</v>
      </c>
      <c r="I44" s="5" t="s">
        <v>24</v>
      </c>
      <c r="J44" s="6"/>
      <c r="K44" s="3" t="s">
        <v>326</v>
      </c>
      <c r="L44" s="3" t="s">
        <v>327</v>
      </c>
      <c r="M44" s="3"/>
    </row>
    <row r="45" spans="1:13" ht="15" customHeight="1" x14ac:dyDescent="0.2">
      <c r="A45" s="3">
        <v>39</v>
      </c>
      <c r="B45" s="3">
        <v>6</v>
      </c>
      <c r="C45" s="3" t="s">
        <v>85</v>
      </c>
      <c r="D45" s="3" t="s">
        <v>335</v>
      </c>
      <c r="E45" s="7" t="s">
        <v>336</v>
      </c>
      <c r="F45" s="4" t="s">
        <v>23</v>
      </c>
      <c r="G45" s="4" t="s">
        <v>23</v>
      </c>
      <c r="H45" s="5" t="s">
        <v>24</v>
      </c>
      <c r="I45" s="5" t="s">
        <v>24</v>
      </c>
      <c r="J45" s="6"/>
      <c r="K45" s="3" t="s">
        <v>326</v>
      </c>
      <c r="L45" s="3" t="s">
        <v>327</v>
      </c>
      <c r="M45" s="3"/>
    </row>
    <row r="46" spans="1:13" ht="15" customHeight="1" x14ac:dyDescent="0.2">
      <c r="A46" s="3">
        <v>40</v>
      </c>
      <c r="B46" s="3">
        <v>6</v>
      </c>
      <c r="C46" s="3" t="s">
        <v>85</v>
      </c>
      <c r="D46" s="3" t="s">
        <v>337</v>
      </c>
      <c r="E46" s="7" t="s">
        <v>338</v>
      </c>
      <c r="F46" s="4" t="s">
        <v>23</v>
      </c>
      <c r="G46" s="4" t="s">
        <v>23</v>
      </c>
      <c r="H46" s="5" t="s">
        <v>24</v>
      </c>
      <c r="I46" s="5" t="s">
        <v>24</v>
      </c>
      <c r="J46" s="6"/>
      <c r="K46" s="3" t="s">
        <v>326</v>
      </c>
      <c r="L46" s="3" t="s">
        <v>327</v>
      </c>
      <c r="M46" s="3"/>
    </row>
    <row r="47" spans="1:13" ht="15" customHeight="1" x14ac:dyDescent="0.2">
      <c r="A47" s="3">
        <v>41</v>
      </c>
      <c r="B47" s="3">
        <v>6</v>
      </c>
      <c r="C47" s="3" t="s">
        <v>85</v>
      </c>
      <c r="D47" s="3" t="s">
        <v>339</v>
      </c>
      <c r="E47" s="7" t="s">
        <v>340</v>
      </c>
      <c r="F47" s="4" t="s">
        <v>23</v>
      </c>
      <c r="G47" s="4" t="s">
        <v>23</v>
      </c>
      <c r="H47" s="5" t="s">
        <v>24</v>
      </c>
      <c r="I47" s="5" t="s">
        <v>24</v>
      </c>
      <c r="J47" s="6"/>
      <c r="K47" s="3" t="s">
        <v>326</v>
      </c>
      <c r="L47" s="3" t="s">
        <v>327</v>
      </c>
      <c r="M47" s="3"/>
    </row>
    <row r="48" spans="1:13" ht="15" customHeight="1" x14ac:dyDescent="0.2">
      <c r="A48" s="3">
        <v>42</v>
      </c>
      <c r="B48" s="3">
        <v>7</v>
      </c>
      <c r="C48" s="3" t="s">
        <v>93</v>
      </c>
      <c r="D48" s="3" t="s">
        <v>341</v>
      </c>
      <c r="E48" s="7" t="s">
        <v>259</v>
      </c>
      <c r="F48" s="4" t="s">
        <v>23</v>
      </c>
      <c r="G48" s="4" t="s">
        <v>23</v>
      </c>
      <c r="H48" s="5" t="s">
        <v>24</v>
      </c>
      <c r="I48" s="5" t="s">
        <v>24</v>
      </c>
      <c r="J48" s="6"/>
      <c r="K48" s="3"/>
      <c r="L48" s="3" t="s">
        <v>260</v>
      </c>
      <c r="M48" s="3"/>
    </row>
    <row r="49" spans="1:13" ht="15" customHeight="1" x14ac:dyDescent="0.2">
      <c r="A49" s="3">
        <v>43</v>
      </c>
      <c r="B49" s="3">
        <v>7</v>
      </c>
      <c r="C49" s="3" t="s">
        <v>93</v>
      </c>
      <c r="D49" s="3" t="s">
        <v>342</v>
      </c>
      <c r="E49" s="7" t="s">
        <v>343</v>
      </c>
      <c r="F49" s="4" t="s">
        <v>23</v>
      </c>
      <c r="G49" s="4" t="s">
        <v>23</v>
      </c>
      <c r="H49" s="5" t="s">
        <v>24</v>
      </c>
      <c r="I49" s="5" t="s">
        <v>24</v>
      </c>
      <c r="J49" s="6"/>
      <c r="K49" s="3"/>
      <c r="L49" s="3" t="s">
        <v>260</v>
      </c>
      <c r="M49" s="3"/>
    </row>
    <row r="50" spans="1:13" ht="15" customHeight="1" x14ac:dyDescent="0.2">
      <c r="A50" s="3">
        <v>44</v>
      </c>
      <c r="B50" s="3">
        <v>7</v>
      </c>
      <c r="C50" s="3" t="s">
        <v>93</v>
      </c>
      <c r="D50" s="3" t="s">
        <v>344</v>
      </c>
      <c r="E50" s="7" t="s">
        <v>345</v>
      </c>
      <c r="F50" s="4" t="s">
        <v>23</v>
      </c>
      <c r="G50" s="4" t="s">
        <v>23</v>
      </c>
      <c r="H50" s="5" t="s">
        <v>24</v>
      </c>
      <c r="I50" s="5" t="s">
        <v>24</v>
      </c>
      <c r="J50" s="6"/>
      <c r="K50" s="3"/>
      <c r="L50" s="3" t="s">
        <v>260</v>
      </c>
      <c r="M50" s="3"/>
    </row>
    <row r="51" spans="1:13" ht="15" customHeight="1" x14ac:dyDescent="0.2">
      <c r="A51" s="3">
        <v>45</v>
      </c>
      <c r="B51" s="3">
        <v>7</v>
      </c>
      <c r="C51" s="3" t="s">
        <v>93</v>
      </c>
      <c r="D51" s="3" t="s">
        <v>346</v>
      </c>
      <c r="E51" s="7" t="s">
        <v>347</v>
      </c>
      <c r="F51" s="4" t="s">
        <v>23</v>
      </c>
      <c r="G51" s="4" t="s">
        <v>23</v>
      </c>
      <c r="H51" s="5" t="s">
        <v>24</v>
      </c>
      <c r="I51" s="5" t="s">
        <v>24</v>
      </c>
      <c r="J51" s="6"/>
      <c r="K51" s="3"/>
      <c r="L51" s="3" t="s">
        <v>260</v>
      </c>
      <c r="M51" s="3"/>
    </row>
    <row r="52" spans="1:13" ht="15" customHeight="1" x14ac:dyDescent="0.2">
      <c r="A52" s="3">
        <v>46</v>
      </c>
      <c r="B52" s="3">
        <v>7</v>
      </c>
      <c r="C52" s="3" t="s">
        <v>93</v>
      </c>
      <c r="D52" s="3" t="s">
        <v>348</v>
      </c>
      <c r="E52" s="7" t="s">
        <v>349</v>
      </c>
      <c r="F52" s="4" t="s">
        <v>23</v>
      </c>
      <c r="G52" s="4" t="s">
        <v>23</v>
      </c>
      <c r="H52" s="5" t="s">
        <v>24</v>
      </c>
      <c r="I52" s="5" t="s">
        <v>24</v>
      </c>
      <c r="J52" s="6"/>
      <c r="K52" s="3"/>
      <c r="L52" s="3" t="s">
        <v>260</v>
      </c>
      <c r="M52" s="3"/>
    </row>
    <row r="53" spans="1:13" ht="15" customHeight="1" x14ac:dyDescent="0.2">
      <c r="A53" s="3">
        <v>47</v>
      </c>
      <c r="B53" s="3">
        <v>7</v>
      </c>
      <c r="C53" s="3" t="s">
        <v>93</v>
      </c>
      <c r="D53" s="3" t="s">
        <v>350</v>
      </c>
      <c r="E53" s="7" t="s">
        <v>351</v>
      </c>
      <c r="F53" s="4" t="s">
        <v>23</v>
      </c>
      <c r="G53" s="4" t="s">
        <v>23</v>
      </c>
      <c r="H53" s="5" t="s">
        <v>24</v>
      </c>
      <c r="I53" s="5" t="s">
        <v>24</v>
      </c>
      <c r="J53" s="6"/>
      <c r="K53" s="3"/>
      <c r="L53" s="3" t="s">
        <v>260</v>
      </c>
      <c r="M53" s="3"/>
    </row>
    <row r="54" spans="1:13" ht="15" customHeight="1" x14ac:dyDescent="0.2">
      <c r="A54" s="3">
        <v>48</v>
      </c>
      <c r="B54" s="3">
        <v>7</v>
      </c>
      <c r="C54" s="3" t="s">
        <v>93</v>
      </c>
      <c r="D54" s="3" t="s">
        <v>352</v>
      </c>
      <c r="E54" s="7" t="s">
        <v>353</v>
      </c>
      <c r="F54" s="4" t="s">
        <v>23</v>
      </c>
      <c r="G54" s="4" t="s">
        <v>23</v>
      </c>
      <c r="H54" s="5" t="s">
        <v>24</v>
      </c>
      <c r="I54" s="5" t="s">
        <v>24</v>
      </c>
      <c r="J54" s="6"/>
      <c r="K54" s="3"/>
      <c r="L54" s="3" t="s">
        <v>260</v>
      </c>
      <c r="M54" s="3"/>
    </row>
    <row r="55" spans="1:13" ht="15" customHeight="1" x14ac:dyDescent="0.2">
      <c r="A55" s="3">
        <v>49</v>
      </c>
      <c r="B55" s="3">
        <v>8</v>
      </c>
      <c r="C55" s="3" t="s">
        <v>103</v>
      </c>
      <c r="D55" s="3" t="s">
        <v>354</v>
      </c>
      <c r="E55" s="7" t="s">
        <v>259</v>
      </c>
      <c r="F55" s="4" t="s">
        <v>23</v>
      </c>
      <c r="G55" s="4" t="s">
        <v>23</v>
      </c>
      <c r="H55" s="5" t="s">
        <v>24</v>
      </c>
      <c r="I55" s="5" t="s">
        <v>24</v>
      </c>
      <c r="J55" s="6"/>
      <c r="K55" s="3" t="s">
        <v>355</v>
      </c>
      <c r="L55" s="3" t="s">
        <v>356</v>
      </c>
      <c r="M55" s="3"/>
    </row>
    <row r="56" spans="1:13" ht="15" customHeight="1" x14ac:dyDescent="0.2">
      <c r="A56" s="3">
        <v>50</v>
      </c>
      <c r="B56" s="3">
        <v>8</v>
      </c>
      <c r="C56" s="3" t="s">
        <v>103</v>
      </c>
      <c r="D56" s="3" t="s">
        <v>357</v>
      </c>
      <c r="E56" s="7" t="s">
        <v>358</v>
      </c>
      <c r="F56" s="4" t="s">
        <v>23</v>
      </c>
      <c r="G56" s="4" t="s">
        <v>23</v>
      </c>
      <c r="H56" s="5" t="s">
        <v>24</v>
      </c>
      <c r="I56" s="5" t="s">
        <v>24</v>
      </c>
      <c r="J56" s="6"/>
      <c r="K56" s="3" t="s">
        <v>355</v>
      </c>
      <c r="L56" s="3" t="s">
        <v>356</v>
      </c>
      <c r="M56" s="3"/>
    </row>
    <row r="57" spans="1:13" ht="15" customHeight="1" x14ac:dyDescent="0.2">
      <c r="A57" s="3">
        <v>51</v>
      </c>
      <c r="B57" s="3">
        <v>8</v>
      </c>
      <c r="C57" s="3" t="s">
        <v>103</v>
      </c>
      <c r="D57" s="3" t="s">
        <v>359</v>
      </c>
      <c r="E57" s="7" t="s">
        <v>360</v>
      </c>
      <c r="F57" s="4" t="s">
        <v>23</v>
      </c>
      <c r="G57" s="4" t="s">
        <v>23</v>
      </c>
      <c r="H57" s="5" t="s">
        <v>24</v>
      </c>
      <c r="I57" s="5" t="s">
        <v>24</v>
      </c>
      <c r="J57" s="6"/>
      <c r="K57" s="3" t="s">
        <v>355</v>
      </c>
      <c r="L57" s="3" t="s">
        <v>356</v>
      </c>
      <c r="M57" s="3"/>
    </row>
    <row r="58" spans="1:13" ht="15" customHeight="1" x14ac:dyDescent="0.2">
      <c r="A58" s="3">
        <v>52</v>
      </c>
      <c r="B58" s="3">
        <v>8</v>
      </c>
      <c r="C58" s="3" t="s">
        <v>103</v>
      </c>
      <c r="D58" s="3" t="s">
        <v>361</v>
      </c>
      <c r="E58" s="7" t="s">
        <v>362</v>
      </c>
      <c r="F58" s="4" t="s">
        <v>23</v>
      </c>
      <c r="G58" s="4" t="s">
        <v>23</v>
      </c>
      <c r="H58" s="5" t="s">
        <v>24</v>
      </c>
      <c r="I58" s="5" t="s">
        <v>24</v>
      </c>
      <c r="J58" s="6"/>
      <c r="K58" s="3" t="s">
        <v>355</v>
      </c>
      <c r="L58" s="3" t="s">
        <v>356</v>
      </c>
      <c r="M58" s="3"/>
    </row>
    <row r="59" spans="1:13" ht="15" customHeight="1" x14ac:dyDescent="0.2">
      <c r="A59" s="3">
        <v>53</v>
      </c>
      <c r="B59" s="3">
        <v>8</v>
      </c>
      <c r="C59" s="3" t="s">
        <v>103</v>
      </c>
      <c r="D59" s="3" t="s">
        <v>363</v>
      </c>
      <c r="E59" s="7" t="s">
        <v>364</v>
      </c>
      <c r="F59" s="4" t="s">
        <v>23</v>
      </c>
      <c r="G59" s="4" t="s">
        <v>23</v>
      </c>
      <c r="H59" s="5" t="s">
        <v>24</v>
      </c>
      <c r="I59" s="5" t="s">
        <v>24</v>
      </c>
      <c r="J59" s="6"/>
      <c r="K59" s="3" t="s">
        <v>355</v>
      </c>
      <c r="L59" s="3" t="s">
        <v>356</v>
      </c>
      <c r="M59" s="3"/>
    </row>
    <row r="60" spans="1:13" ht="15" customHeight="1" x14ac:dyDescent="0.2">
      <c r="A60" s="3">
        <v>54</v>
      </c>
      <c r="B60" s="3">
        <v>8</v>
      </c>
      <c r="C60" s="3" t="s">
        <v>103</v>
      </c>
      <c r="D60" s="3" t="s">
        <v>365</v>
      </c>
      <c r="E60" s="7" t="s">
        <v>366</v>
      </c>
      <c r="F60" s="4" t="s">
        <v>23</v>
      </c>
      <c r="G60" s="4" t="s">
        <v>23</v>
      </c>
      <c r="H60" s="5" t="s">
        <v>24</v>
      </c>
      <c r="I60" s="5" t="s">
        <v>24</v>
      </c>
      <c r="J60" s="6"/>
      <c r="K60" s="3" t="s">
        <v>355</v>
      </c>
      <c r="L60" s="3" t="s">
        <v>356</v>
      </c>
      <c r="M60" s="3"/>
    </row>
    <row r="61" spans="1:13" ht="15" customHeight="1" x14ac:dyDescent="0.2">
      <c r="A61" s="3">
        <v>55</v>
      </c>
      <c r="B61" s="3">
        <v>8</v>
      </c>
      <c r="C61" s="3" t="s">
        <v>103</v>
      </c>
      <c r="D61" s="3" t="s">
        <v>367</v>
      </c>
      <c r="E61" s="7" t="s">
        <v>368</v>
      </c>
      <c r="F61" s="4" t="s">
        <v>23</v>
      </c>
      <c r="G61" s="4" t="s">
        <v>23</v>
      </c>
      <c r="H61" s="5" t="s">
        <v>24</v>
      </c>
      <c r="I61" s="5" t="s">
        <v>24</v>
      </c>
      <c r="J61" s="6"/>
      <c r="K61" s="3" t="s">
        <v>355</v>
      </c>
      <c r="L61" s="3" t="s">
        <v>356</v>
      </c>
      <c r="M61" s="3"/>
    </row>
    <row r="62" spans="1:13" ht="15" customHeight="1" x14ac:dyDescent="0.2">
      <c r="A62" s="3">
        <v>56</v>
      </c>
      <c r="B62" s="3">
        <v>8</v>
      </c>
      <c r="C62" s="3" t="s">
        <v>103</v>
      </c>
      <c r="D62" s="3" t="s">
        <v>369</v>
      </c>
      <c r="E62" s="7" t="s">
        <v>370</v>
      </c>
      <c r="F62" s="4" t="s">
        <v>23</v>
      </c>
      <c r="G62" s="4" t="s">
        <v>23</v>
      </c>
      <c r="H62" s="5" t="s">
        <v>24</v>
      </c>
      <c r="I62" s="5" t="s">
        <v>24</v>
      </c>
      <c r="J62" s="6"/>
      <c r="K62" s="3" t="s">
        <v>355</v>
      </c>
      <c r="L62" s="3" t="s">
        <v>356</v>
      </c>
      <c r="M62" s="3"/>
    </row>
    <row r="63" spans="1:13" ht="15" customHeight="1" x14ac:dyDescent="0.2">
      <c r="A63" s="3">
        <v>57</v>
      </c>
      <c r="B63" s="3">
        <v>9</v>
      </c>
      <c r="C63" s="3" t="s">
        <v>111</v>
      </c>
      <c r="D63" s="3" t="s">
        <v>371</v>
      </c>
      <c r="E63" s="7" t="s">
        <v>259</v>
      </c>
      <c r="F63" s="4" t="s">
        <v>23</v>
      </c>
      <c r="G63" s="4" t="s">
        <v>23</v>
      </c>
      <c r="H63" s="5" t="s">
        <v>24</v>
      </c>
      <c r="I63" s="5" t="s">
        <v>24</v>
      </c>
      <c r="J63" s="6"/>
      <c r="K63" s="3" t="s">
        <v>372</v>
      </c>
      <c r="L63" s="3" t="s">
        <v>373</v>
      </c>
      <c r="M63" s="3"/>
    </row>
    <row r="64" spans="1:13" ht="15" customHeight="1" x14ac:dyDescent="0.2">
      <c r="A64" s="3">
        <v>58</v>
      </c>
      <c r="B64" s="3">
        <v>9</v>
      </c>
      <c r="C64" s="3" t="s">
        <v>111</v>
      </c>
      <c r="D64" s="3" t="s">
        <v>374</v>
      </c>
      <c r="E64" s="7" t="s">
        <v>375</v>
      </c>
      <c r="F64" s="4" t="s">
        <v>23</v>
      </c>
      <c r="G64" s="4" t="s">
        <v>23</v>
      </c>
      <c r="H64" s="5" t="s">
        <v>24</v>
      </c>
      <c r="I64" s="5" t="s">
        <v>24</v>
      </c>
      <c r="J64" s="6"/>
      <c r="K64" s="3" t="s">
        <v>372</v>
      </c>
      <c r="L64" s="3" t="s">
        <v>373</v>
      </c>
      <c r="M64" s="3"/>
    </row>
    <row r="65" spans="1:13" ht="15" customHeight="1" x14ac:dyDescent="0.2">
      <c r="A65" s="3">
        <v>59</v>
      </c>
      <c r="B65" s="3">
        <v>9</v>
      </c>
      <c r="C65" s="3" t="s">
        <v>111</v>
      </c>
      <c r="D65" s="3" t="s">
        <v>376</v>
      </c>
      <c r="E65" s="7" t="s">
        <v>377</v>
      </c>
      <c r="F65" s="4" t="s">
        <v>23</v>
      </c>
      <c r="G65" s="4" t="s">
        <v>23</v>
      </c>
      <c r="H65" s="5" t="s">
        <v>24</v>
      </c>
      <c r="I65" s="5" t="s">
        <v>24</v>
      </c>
      <c r="J65" s="6"/>
      <c r="K65" s="3" t="s">
        <v>372</v>
      </c>
      <c r="L65" s="3" t="s">
        <v>373</v>
      </c>
      <c r="M65" s="3"/>
    </row>
    <row r="66" spans="1:13" ht="15" customHeight="1" x14ac:dyDescent="0.2">
      <c r="A66" s="3">
        <v>60</v>
      </c>
      <c r="B66" s="3">
        <v>9</v>
      </c>
      <c r="C66" s="3" t="s">
        <v>111</v>
      </c>
      <c r="D66" s="3" t="s">
        <v>378</v>
      </c>
      <c r="E66" s="7" t="s">
        <v>379</v>
      </c>
      <c r="F66" s="4" t="s">
        <v>23</v>
      </c>
      <c r="G66" s="4" t="s">
        <v>23</v>
      </c>
      <c r="H66" s="5" t="s">
        <v>24</v>
      </c>
      <c r="I66" s="5" t="s">
        <v>24</v>
      </c>
      <c r="J66" s="6"/>
      <c r="K66" s="3" t="s">
        <v>372</v>
      </c>
      <c r="L66" s="3" t="s">
        <v>373</v>
      </c>
      <c r="M66" s="3"/>
    </row>
    <row r="67" spans="1:13" ht="15" customHeight="1" x14ac:dyDescent="0.2">
      <c r="A67" s="3">
        <v>61</v>
      </c>
      <c r="B67" s="3">
        <v>9</v>
      </c>
      <c r="C67" s="3" t="s">
        <v>111</v>
      </c>
      <c r="D67" s="3" t="s">
        <v>380</v>
      </c>
      <c r="E67" s="7" t="s">
        <v>381</v>
      </c>
      <c r="F67" s="4" t="s">
        <v>23</v>
      </c>
      <c r="G67" s="4" t="s">
        <v>23</v>
      </c>
      <c r="H67" s="5" t="s">
        <v>24</v>
      </c>
      <c r="I67" s="5" t="s">
        <v>24</v>
      </c>
      <c r="J67" s="6"/>
      <c r="K67" s="3" t="s">
        <v>372</v>
      </c>
      <c r="L67" s="3" t="s">
        <v>373</v>
      </c>
      <c r="M67" s="3"/>
    </row>
    <row r="68" spans="1:13" ht="15" customHeight="1" x14ac:dyDescent="0.2">
      <c r="A68" s="3">
        <v>62</v>
      </c>
      <c r="B68" s="3">
        <v>9</v>
      </c>
      <c r="C68" s="3" t="s">
        <v>111</v>
      </c>
      <c r="D68" s="3" t="s">
        <v>382</v>
      </c>
      <c r="E68" s="7" t="s">
        <v>383</v>
      </c>
      <c r="F68" s="4" t="s">
        <v>23</v>
      </c>
      <c r="G68" s="4" t="s">
        <v>23</v>
      </c>
      <c r="H68" s="5" t="s">
        <v>24</v>
      </c>
      <c r="I68" s="5" t="s">
        <v>24</v>
      </c>
      <c r="J68" s="6"/>
      <c r="K68" s="3" t="s">
        <v>372</v>
      </c>
      <c r="L68" s="3" t="s">
        <v>373</v>
      </c>
      <c r="M68" s="3"/>
    </row>
    <row r="69" spans="1:13" ht="15" customHeight="1" x14ac:dyDescent="0.2">
      <c r="A69" s="3">
        <v>63</v>
      </c>
      <c r="B69" s="3">
        <v>10</v>
      </c>
      <c r="C69" s="3" t="s">
        <v>120</v>
      </c>
      <c r="D69" s="3" t="s">
        <v>384</v>
      </c>
      <c r="E69" s="7" t="s">
        <v>259</v>
      </c>
      <c r="F69" s="4" t="s">
        <v>23</v>
      </c>
      <c r="G69" s="4" t="s">
        <v>23</v>
      </c>
      <c r="H69" s="5" t="s">
        <v>24</v>
      </c>
      <c r="I69" s="5" t="s">
        <v>24</v>
      </c>
      <c r="J69" s="6"/>
      <c r="K69" s="3" t="s">
        <v>385</v>
      </c>
      <c r="L69" s="3" t="s">
        <v>386</v>
      </c>
      <c r="M69" s="3"/>
    </row>
    <row r="70" spans="1:13" ht="15" customHeight="1" x14ac:dyDescent="0.2">
      <c r="A70" s="3">
        <v>64</v>
      </c>
      <c r="B70" s="3">
        <v>10</v>
      </c>
      <c r="C70" s="3" t="s">
        <v>120</v>
      </c>
      <c r="D70" s="3" t="s">
        <v>387</v>
      </c>
      <c r="E70" s="7" t="s">
        <v>388</v>
      </c>
      <c r="F70" s="4" t="s">
        <v>23</v>
      </c>
      <c r="G70" s="4" t="s">
        <v>23</v>
      </c>
      <c r="H70" s="5" t="s">
        <v>24</v>
      </c>
      <c r="I70" s="5" t="s">
        <v>24</v>
      </c>
      <c r="J70" s="6"/>
      <c r="K70" s="3" t="s">
        <v>385</v>
      </c>
      <c r="L70" s="3" t="s">
        <v>386</v>
      </c>
      <c r="M70" s="3"/>
    </row>
    <row r="71" spans="1:13" ht="15" customHeight="1" x14ac:dyDescent="0.2">
      <c r="A71" s="3">
        <v>65</v>
      </c>
      <c r="B71" s="3">
        <v>10</v>
      </c>
      <c r="C71" s="3" t="s">
        <v>120</v>
      </c>
      <c r="D71" s="3" t="s">
        <v>389</v>
      </c>
      <c r="E71" s="7" t="s">
        <v>390</v>
      </c>
      <c r="F71" s="4" t="s">
        <v>23</v>
      </c>
      <c r="G71" s="4" t="s">
        <v>23</v>
      </c>
      <c r="H71" s="5" t="s">
        <v>24</v>
      </c>
      <c r="I71" s="5" t="s">
        <v>24</v>
      </c>
      <c r="J71" s="6"/>
      <c r="K71" s="3" t="s">
        <v>385</v>
      </c>
      <c r="L71" s="3" t="s">
        <v>386</v>
      </c>
      <c r="M71" s="3"/>
    </row>
    <row r="72" spans="1:13" ht="15" customHeight="1" x14ac:dyDescent="0.2">
      <c r="A72" s="3">
        <v>66</v>
      </c>
      <c r="B72" s="3">
        <v>10</v>
      </c>
      <c r="C72" s="3" t="s">
        <v>120</v>
      </c>
      <c r="D72" s="3" t="s">
        <v>391</v>
      </c>
      <c r="E72" s="7" t="s">
        <v>392</v>
      </c>
      <c r="F72" s="4" t="s">
        <v>23</v>
      </c>
      <c r="G72" s="4" t="s">
        <v>23</v>
      </c>
      <c r="H72" s="5" t="s">
        <v>24</v>
      </c>
      <c r="I72" s="5" t="s">
        <v>24</v>
      </c>
      <c r="J72" s="6"/>
      <c r="K72" s="3" t="s">
        <v>385</v>
      </c>
      <c r="L72" s="3" t="s">
        <v>386</v>
      </c>
      <c r="M72" s="3"/>
    </row>
    <row r="73" spans="1:13" ht="15" customHeight="1" x14ac:dyDescent="0.2">
      <c r="A73" s="3">
        <v>67</v>
      </c>
      <c r="B73" s="3">
        <v>10</v>
      </c>
      <c r="C73" s="3" t="s">
        <v>120</v>
      </c>
      <c r="D73" s="3" t="s">
        <v>393</v>
      </c>
      <c r="E73" s="7" t="s">
        <v>394</v>
      </c>
      <c r="F73" s="4" t="s">
        <v>23</v>
      </c>
      <c r="G73" s="4" t="s">
        <v>23</v>
      </c>
      <c r="H73" s="5" t="s">
        <v>24</v>
      </c>
      <c r="I73" s="5" t="s">
        <v>24</v>
      </c>
      <c r="J73" s="6"/>
      <c r="K73" s="3" t="s">
        <v>385</v>
      </c>
      <c r="L73" s="3" t="s">
        <v>386</v>
      </c>
      <c r="M73" s="3"/>
    </row>
    <row r="74" spans="1:13" ht="15" customHeight="1" x14ac:dyDescent="0.2">
      <c r="A74" s="3">
        <v>68</v>
      </c>
      <c r="B74" s="3">
        <v>11</v>
      </c>
      <c r="C74" s="3" t="s">
        <v>126</v>
      </c>
      <c r="D74" s="3" t="s">
        <v>395</v>
      </c>
      <c r="E74" s="7" t="s">
        <v>259</v>
      </c>
      <c r="F74" s="4" t="s">
        <v>23</v>
      </c>
      <c r="G74" s="4" t="s">
        <v>23</v>
      </c>
      <c r="H74" s="5" t="s">
        <v>24</v>
      </c>
      <c r="I74" s="5" t="s">
        <v>24</v>
      </c>
      <c r="J74" s="6"/>
      <c r="K74" s="3" t="s">
        <v>396</v>
      </c>
      <c r="L74" s="3" t="s">
        <v>397</v>
      </c>
      <c r="M74" s="3"/>
    </row>
    <row r="75" spans="1:13" ht="15" customHeight="1" x14ac:dyDescent="0.2">
      <c r="A75" s="3">
        <v>69</v>
      </c>
      <c r="B75" s="3">
        <v>11</v>
      </c>
      <c r="C75" s="3" t="s">
        <v>126</v>
      </c>
      <c r="D75" s="3" t="s">
        <v>398</v>
      </c>
      <c r="E75" s="7" t="s">
        <v>388</v>
      </c>
      <c r="F75" s="4" t="s">
        <v>23</v>
      </c>
      <c r="G75" s="4" t="s">
        <v>23</v>
      </c>
      <c r="H75" s="5" t="s">
        <v>24</v>
      </c>
      <c r="I75" s="5" t="s">
        <v>24</v>
      </c>
      <c r="J75" s="6"/>
      <c r="K75" s="3" t="s">
        <v>396</v>
      </c>
      <c r="L75" s="3" t="s">
        <v>397</v>
      </c>
      <c r="M75" s="3"/>
    </row>
    <row r="76" spans="1:13" ht="15" customHeight="1" x14ac:dyDescent="0.2">
      <c r="A76" s="3">
        <v>70</v>
      </c>
      <c r="B76" s="3">
        <v>11</v>
      </c>
      <c r="C76" s="3" t="s">
        <v>126</v>
      </c>
      <c r="D76" s="3" t="s">
        <v>399</v>
      </c>
      <c r="E76" s="7" t="s">
        <v>400</v>
      </c>
      <c r="F76" s="4" t="s">
        <v>23</v>
      </c>
      <c r="G76" s="4" t="s">
        <v>23</v>
      </c>
      <c r="H76" s="5" t="s">
        <v>24</v>
      </c>
      <c r="I76" s="5" t="s">
        <v>24</v>
      </c>
      <c r="J76" s="6"/>
      <c r="K76" s="3" t="s">
        <v>396</v>
      </c>
      <c r="L76" s="3" t="s">
        <v>397</v>
      </c>
      <c r="M76" s="3"/>
    </row>
    <row r="77" spans="1:13" ht="15" customHeight="1" x14ac:dyDescent="0.2">
      <c r="A77" s="3">
        <v>71</v>
      </c>
      <c r="B77" s="3">
        <v>11</v>
      </c>
      <c r="C77" s="3" t="s">
        <v>126</v>
      </c>
      <c r="D77" s="3" t="s">
        <v>401</v>
      </c>
      <c r="E77" s="7" t="s">
        <v>402</v>
      </c>
      <c r="F77" s="4" t="s">
        <v>23</v>
      </c>
      <c r="G77" s="4" t="s">
        <v>23</v>
      </c>
      <c r="H77" s="5" t="s">
        <v>24</v>
      </c>
      <c r="I77" s="5" t="s">
        <v>24</v>
      </c>
      <c r="J77" s="6"/>
      <c r="K77" s="3" t="s">
        <v>396</v>
      </c>
      <c r="L77" s="3" t="s">
        <v>397</v>
      </c>
      <c r="M77" s="3"/>
    </row>
    <row r="78" spans="1:13" ht="15" customHeight="1" x14ac:dyDescent="0.2">
      <c r="A78" s="3">
        <v>72</v>
      </c>
      <c r="B78" s="3">
        <v>11</v>
      </c>
      <c r="C78" s="3" t="s">
        <v>126</v>
      </c>
      <c r="D78" s="3" t="s">
        <v>403</v>
      </c>
      <c r="E78" s="7" t="s">
        <v>404</v>
      </c>
      <c r="F78" s="4" t="s">
        <v>23</v>
      </c>
      <c r="G78" s="4" t="s">
        <v>23</v>
      </c>
      <c r="H78" s="5" t="s">
        <v>24</v>
      </c>
      <c r="I78" s="5" t="s">
        <v>24</v>
      </c>
      <c r="J78" s="6"/>
      <c r="K78" s="3" t="s">
        <v>396</v>
      </c>
      <c r="L78" s="3" t="s">
        <v>397</v>
      </c>
      <c r="M78" s="3"/>
    </row>
    <row r="79" spans="1:13" ht="15" customHeight="1" x14ac:dyDescent="0.2">
      <c r="A79" s="3">
        <v>73</v>
      </c>
      <c r="B79" s="3">
        <v>12</v>
      </c>
      <c r="C79" s="3" t="s">
        <v>133</v>
      </c>
      <c r="D79" s="3" t="s">
        <v>405</v>
      </c>
      <c r="E79" s="7" t="s">
        <v>259</v>
      </c>
      <c r="F79" s="4" t="s">
        <v>23</v>
      </c>
      <c r="G79" s="4" t="s">
        <v>23</v>
      </c>
      <c r="H79" s="5" t="s">
        <v>24</v>
      </c>
      <c r="I79" s="5" t="s">
        <v>24</v>
      </c>
      <c r="J79" s="6"/>
      <c r="K79" s="3" t="s">
        <v>406</v>
      </c>
      <c r="L79" s="3" t="s">
        <v>407</v>
      </c>
      <c r="M79" s="3"/>
    </row>
    <row r="80" spans="1:13" ht="15" customHeight="1" x14ac:dyDescent="0.2">
      <c r="A80" s="3">
        <v>74</v>
      </c>
      <c r="B80" s="3">
        <v>12</v>
      </c>
      <c r="C80" s="3" t="s">
        <v>133</v>
      </c>
      <c r="D80" s="3" t="s">
        <v>408</v>
      </c>
      <c r="E80" s="7" t="s">
        <v>388</v>
      </c>
      <c r="F80" s="4" t="s">
        <v>23</v>
      </c>
      <c r="G80" s="4" t="s">
        <v>23</v>
      </c>
      <c r="H80" s="5" t="s">
        <v>24</v>
      </c>
      <c r="I80" s="5" t="s">
        <v>24</v>
      </c>
      <c r="J80" s="6"/>
      <c r="K80" s="3" t="s">
        <v>406</v>
      </c>
      <c r="L80" s="3" t="s">
        <v>407</v>
      </c>
      <c r="M80" s="3"/>
    </row>
    <row r="81" spans="1:13" ht="15" customHeight="1" x14ac:dyDescent="0.2">
      <c r="A81" s="3">
        <v>75</v>
      </c>
      <c r="B81" s="3">
        <v>12</v>
      </c>
      <c r="C81" s="3" t="s">
        <v>133</v>
      </c>
      <c r="D81" s="3" t="s">
        <v>409</v>
      </c>
      <c r="E81" s="7" t="s">
        <v>410</v>
      </c>
      <c r="F81" s="4" t="s">
        <v>23</v>
      </c>
      <c r="G81" s="4" t="s">
        <v>23</v>
      </c>
      <c r="H81" s="5" t="s">
        <v>24</v>
      </c>
      <c r="I81" s="5" t="s">
        <v>24</v>
      </c>
      <c r="J81" s="6"/>
      <c r="K81" s="3" t="s">
        <v>406</v>
      </c>
      <c r="L81" s="3" t="s">
        <v>407</v>
      </c>
      <c r="M81" s="3"/>
    </row>
    <row r="82" spans="1:13" ht="15" customHeight="1" x14ac:dyDescent="0.2">
      <c r="A82" s="3">
        <v>76</v>
      </c>
      <c r="B82" s="3">
        <v>12</v>
      </c>
      <c r="C82" s="3" t="s">
        <v>133</v>
      </c>
      <c r="D82" s="3" t="s">
        <v>411</v>
      </c>
      <c r="E82" s="7" t="s">
        <v>412</v>
      </c>
      <c r="F82" s="4" t="s">
        <v>23</v>
      </c>
      <c r="G82" s="4" t="s">
        <v>23</v>
      </c>
      <c r="H82" s="5" t="s">
        <v>24</v>
      </c>
      <c r="I82" s="5" t="s">
        <v>24</v>
      </c>
      <c r="J82" s="6"/>
      <c r="K82" s="3" t="s">
        <v>406</v>
      </c>
      <c r="L82" s="3" t="s">
        <v>407</v>
      </c>
      <c r="M82" s="3"/>
    </row>
    <row r="83" spans="1:13" ht="15" customHeight="1" x14ac:dyDescent="0.2">
      <c r="A83" s="3">
        <v>77</v>
      </c>
      <c r="B83" s="3">
        <v>12</v>
      </c>
      <c r="C83" s="3" t="s">
        <v>133</v>
      </c>
      <c r="D83" s="3" t="s">
        <v>413</v>
      </c>
      <c r="E83" s="7" t="s">
        <v>414</v>
      </c>
      <c r="F83" s="4" t="s">
        <v>23</v>
      </c>
      <c r="G83" s="4" t="s">
        <v>23</v>
      </c>
      <c r="H83" s="5" t="s">
        <v>24</v>
      </c>
      <c r="I83" s="5" t="s">
        <v>24</v>
      </c>
      <c r="J83" s="6"/>
      <c r="K83" s="3" t="s">
        <v>406</v>
      </c>
      <c r="L83" s="3" t="s">
        <v>407</v>
      </c>
      <c r="M83" s="3"/>
    </row>
    <row r="84" spans="1:13" ht="15" customHeight="1" x14ac:dyDescent="0.2">
      <c r="A84" s="3">
        <v>78</v>
      </c>
      <c r="B84" s="3">
        <v>12</v>
      </c>
      <c r="C84" s="3" t="s">
        <v>133</v>
      </c>
      <c r="D84" s="3" t="s">
        <v>415</v>
      </c>
      <c r="E84" s="7" t="s">
        <v>416</v>
      </c>
      <c r="F84" s="4" t="s">
        <v>23</v>
      </c>
      <c r="G84" s="4" t="s">
        <v>23</v>
      </c>
      <c r="H84" s="5" t="s">
        <v>24</v>
      </c>
      <c r="I84" s="5" t="s">
        <v>24</v>
      </c>
      <c r="J84" s="6"/>
      <c r="K84" s="3" t="s">
        <v>406</v>
      </c>
      <c r="L84" s="3" t="s">
        <v>407</v>
      </c>
      <c r="M84" s="3"/>
    </row>
    <row r="85" spans="1:13" ht="15" customHeight="1" x14ac:dyDescent="0.2">
      <c r="A85" s="3">
        <v>79</v>
      </c>
      <c r="B85" s="3">
        <v>12</v>
      </c>
      <c r="C85" s="3" t="s">
        <v>133</v>
      </c>
      <c r="D85" s="3" t="s">
        <v>417</v>
      </c>
      <c r="E85" s="7" t="s">
        <v>418</v>
      </c>
      <c r="F85" s="4" t="s">
        <v>23</v>
      </c>
      <c r="G85" s="4" t="s">
        <v>23</v>
      </c>
      <c r="H85" s="5" t="s">
        <v>24</v>
      </c>
      <c r="I85" s="5" t="s">
        <v>24</v>
      </c>
      <c r="J85" s="6"/>
      <c r="K85" s="3" t="s">
        <v>406</v>
      </c>
      <c r="L85" s="3" t="s">
        <v>407</v>
      </c>
      <c r="M85" s="3"/>
    </row>
    <row r="86" spans="1:13" ht="15" customHeight="1" x14ac:dyDescent="0.2">
      <c r="A86" s="3">
        <v>80</v>
      </c>
      <c r="B86" s="3">
        <v>13</v>
      </c>
      <c r="C86" s="3" t="s">
        <v>140</v>
      </c>
      <c r="D86" s="3" t="s">
        <v>419</v>
      </c>
      <c r="E86" s="7" t="s">
        <v>259</v>
      </c>
      <c r="F86" s="4" t="s">
        <v>23</v>
      </c>
      <c r="G86" s="4" t="s">
        <v>23</v>
      </c>
      <c r="H86" s="5" t="s">
        <v>24</v>
      </c>
      <c r="I86" s="5" t="s">
        <v>24</v>
      </c>
      <c r="J86" s="6"/>
      <c r="K86" s="3" t="s">
        <v>420</v>
      </c>
      <c r="L86" s="3" t="s">
        <v>421</v>
      </c>
      <c r="M86" s="3"/>
    </row>
    <row r="87" spans="1:13" ht="15" customHeight="1" x14ac:dyDescent="0.2">
      <c r="A87" s="3">
        <v>81</v>
      </c>
      <c r="B87" s="3">
        <v>13</v>
      </c>
      <c r="C87" s="3" t="s">
        <v>140</v>
      </c>
      <c r="D87" s="3" t="s">
        <v>422</v>
      </c>
      <c r="E87" s="7" t="s">
        <v>388</v>
      </c>
      <c r="F87" s="4" t="s">
        <v>23</v>
      </c>
      <c r="G87" s="4" t="s">
        <v>23</v>
      </c>
      <c r="H87" s="5" t="s">
        <v>24</v>
      </c>
      <c r="I87" s="5" t="s">
        <v>24</v>
      </c>
      <c r="J87" s="6"/>
      <c r="K87" s="3" t="s">
        <v>420</v>
      </c>
      <c r="L87" s="3" t="s">
        <v>421</v>
      </c>
      <c r="M87" s="3"/>
    </row>
    <row r="88" spans="1:13" ht="15" customHeight="1" x14ac:dyDescent="0.2">
      <c r="A88" s="3">
        <v>82</v>
      </c>
      <c r="B88" s="3">
        <v>13</v>
      </c>
      <c r="C88" s="3" t="s">
        <v>140</v>
      </c>
      <c r="D88" s="3" t="s">
        <v>423</v>
      </c>
      <c r="E88" s="7" t="s">
        <v>424</v>
      </c>
      <c r="F88" s="4" t="s">
        <v>23</v>
      </c>
      <c r="G88" s="4" t="s">
        <v>23</v>
      </c>
      <c r="H88" s="5" t="s">
        <v>24</v>
      </c>
      <c r="I88" s="5" t="s">
        <v>24</v>
      </c>
      <c r="J88" s="6"/>
      <c r="K88" s="3" t="s">
        <v>420</v>
      </c>
      <c r="L88" s="3" t="s">
        <v>421</v>
      </c>
      <c r="M88" s="3"/>
    </row>
    <row r="89" spans="1:13" ht="15" customHeight="1" x14ac:dyDescent="0.2">
      <c r="A89" s="3">
        <v>83</v>
      </c>
      <c r="B89" s="3">
        <v>13</v>
      </c>
      <c r="C89" s="3" t="s">
        <v>140</v>
      </c>
      <c r="D89" s="3" t="s">
        <v>425</v>
      </c>
      <c r="E89" s="7" t="s">
        <v>426</v>
      </c>
      <c r="F89" s="4" t="s">
        <v>23</v>
      </c>
      <c r="G89" s="4" t="s">
        <v>23</v>
      </c>
      <c r="H89" s="5" t="s">
        <v>24</v>
      </c>
      <c r="I89" s="5" t="s">
        <v>24</v>
      </c>
      <c r="J89" s="6"/>
      <c r="K89" s="3" t="s">
        <v>420</v>
      </c>
      <c r="L89" s="3" t="s">
        <v>421</v>
      </c>
      <c r="M89" s="3"/>
    </row>
    <row r="90" spans="1:13" ht="15" customHeight="1" x14ac:dyDescent="0.2">
      <c r="A90" s="3">
        <v>84</v>
      </c>
      <c r="B90" s="3">
        <v>14</v>
      </c>
      <c r="C90" s="3" t="s">
        <v>147</v>
      </c>
      <c r="D90" s="3" t="s">
        <v>427</v>
      </c>
      <c r="E90" s="7" t="s">
        <v>259</v>
      </c>
      <c r="F90" s="4" t="s">
        <v>23</v>
      </c>
      <c r="G90" s="4" t="s">
        <v>23</v>
      </c>
      <c r="H90" s="5" t="s">
        <v>24</v>
      </c>
      <c r="I90" s="5" t="s">
        <v>24</v>
      </c>
      <c r="J90" s="6"/>
      <c r="K90" s="3" t="s">
        <v>428</v>
      </c>
      <c r="L90" s="3" t="s">
        <v>429</v>
      </c>
      <c r="M90" s="3"/>
    </row>
    <row r="91" spans="1:13" ht="15" customHeight="1" x14ac:dyDescent="0.2">
      <c r="A91" s="3">
        <v>85</v>
      </c>
      <c r="B91" s="3">
        <v>14</v>
      </c>
      <c r="C91" s="3" t="s">
        <v>147</v>
      </c>
      <c r="D91" s="3" t="s">
        <v>430</v>
      </c>
      <c r="E91" s="7" t="s">
        <v>431</v>
      </c>
      <c r="F91" s="4" t="s">
        <v>23</v>
      </c>
      <c r="G91" s="4" t="s">
        <v>23</v>
      </c>
      <c r="H91" s="5" t="s">
        <v>24</v>
      </c>
      <c r="I91" s="5" t="s">
        <v>24</v>
      </c>
      <c r="J91" s="6"/>
      <c r="K91" s="3" t="s">
        <v>428</v>
      </c>
      <c r="L91" s="3" t="s">
        <v>429</v>
      </c>
      <c r="M91" s="3"/>
    </row>
    <row r="92" spans="1:13" ht="15" customHeight="1" x14ac:dyDescent="0.2">
      <c r="A92" s="3">
        <v>86</v>
      </c>
      <c r="B92" s="3">
        <v>14</v>
      </c>
      <c r="C92" s="3" t="s">
        <v>147</v>
      </c>
      <c r="D92" s="3" t="s">
        <v>432</v>
      </c>
      <c r="E92" s="7" t="s">
        <v>433</v>
      </c>
      <c r="F92" s="4" t="s">
        <v>23</v>
      </c>
      <c r="G92" s="4" t="s">
        <v>23</v>
      </c>
      <c r="H92" s="5" t="s">
        <v>24</v>
      </c>
      <c r="I92" s="5" t="s">
        <v>24</v>
      </c>
      <c r="J92" s="6"/>
      <c r="K92" s="3" t="s">
        <v>428</v>
      </c>
      <c r="L92" s="3" t="s">
        <v>429</v>
      </c>
      <c r="M92" s="3"/>
    </row>
    <row r="93" spans="1:13" ht="15" customHeight="1" x14ac:dyDescent="0.2">
      <c r="A93" s="3">
        <v>87</v>
      </c>
      <c r="B93" s="3">
        <v>14</v>
      </c>
      <c r="C93" s="3" t="s">
        <v>147</v>
      </c>
      <c r="D93" s="3" t="s">
        <v>434</v>
      </c>
      <c r="E93" s="7" t="s">
        <v>435</v>
      </c>
      <c r="F93" s="4" t="s">
        <v>23</v>
      </c>
      <c r="G93" s="4" t="s">
        <v>23</v>
      </c>
      <c r="H93" s="5" t="s">
        <v>24</v>
      </c>
      <c r="I93" s="5" t="s">
        <v>24</v>
      </c>
      <c r="J93" s="6"/>
      <c r="K93" s="3" t="s">
        <v>428</v>
      </c>
      <c r="L93" s="3" t="s">
        <v>429</v>
      </c>
      <c r="M93" s="3"/>
    </row>
    <row r="94" spans="1:13" ht="15" customHeight="1" x14ac:dyDescent="0.2">
      <c r="A94" s="3">
        <v>88</v>
      </c>
      <c r="B94" s="3">
        <v>14</v>
      </c>
      <c r="C94" s="3" t="s">
        <v>147</v>
      </c>
      <c r="D94" s="3" t="s">
        <v>436</v>
      </c>
      <c r="E94" s="7" t="s">
        <v>437</v>
      </c>
      <c r="F94" s="4" t="s">
        <v>23</v>
      </c>
      <c r="G94" s="4" t="s">
        <v>23</v>
      </c>
      <c r="H94" s="5" t="s">
        <v>24</v>
      </c>
      <c r="I94" s="5" t="s">
        <v>24</v>
      </c>
      <c r="J94" s="6"/>
      <c r="K94" s="3" t="s">
        <v>428</v>
      </c>
      <c r="L94" s="3" t="s">
        <v>429</v>
      </c>
      <c r="M94" s="3"/>
    </row>
    <row r="95" spans="1:13" ht="15" customHeight="1" x14ac:dyDescent="0.2">
      <c r="A95" s="3">
        <v>89</v>
      </c>
      <c r="B95" s="3">
        <v>15</v>
      </c>
      <c r="C95" s="3" t="s">
        <v>155</v>
      </c>
      <c r="D95" s="3" t="s">
        <v>438</v>
      </c>
      <c r="E95" s="7" t="s">
        <v>259</v>
      </c>
      <c r="F95" s="4" t="s">
        <v>23</v>
      </c>
      <c r="G95" s="4" t="s">
        <v>23</v>
      </c>
      <c r="H95" s="5" t="s">
        <v>24</v>
      </c>
      <c r="I95" s="5" t="s">
        <v>24</v>
      </c>
      <c r="J95" s="6"/>
      <c r="K95" s="3" t="s">
        <v>439</v>
      </c>
      <c r="L95" s="3" t="s">
        <v>440</v>
      </c>
      <c r="M95" s="3"/>
    </row>
    <row r="96" spans="1:13" ht="15" customHeight="1" x14ac:dyDescent="0.2">
      <c r="A96" s="3">
        <v>90</v>
      </c>
      <c r="B96" s="3">
        <v>15</v>
      </c>
      <c r="C96" s="3" t="s">
        <v>155</v>
      </c>
      <c r="D96" s="3" t="s">
        <v>441</v>
      </c>
      <c r="E96" s="7" t="s">
        <v>442</v>
      </c>
      <c r="F96" s="4" t="s">
        <v>23</v>
      </c>
      <c r="G96" s="4" t="s">
        <v>23</v>
      </c>
      <c r="H96" s="5" t="s">
        <v>24</v>
      </c>
      <c r="I96" s="5" t="s">
        <v>24</v>
      </c>
      <c r="J96" s="6"/>
      <c r="K96" s="3" t="s">
        <v>439</v>
      </c>
      <c r="L96" s="3" t="s">
        <v>440</v>
      </c>
      <c r="M96" s="3"/>
    </row>
    <row r="97" spans="1:13" ht="15" customHeight="1" x14ac:dyDescent="0.2">
      <c r="A97" s="3">
        <v>91</v>
      </c>
      <c r="B97" s="3">
        <v>15</v>
      </c>
      <c r="C97" s="3" t="s">
        <v>155</v>
      </c>
      <c r="D97" s="3" t="s">
        <v>443</v>
      </c>
      <c r="E97" s="7" t="s">
        <v>444</v>
      </c>
      <c r="F97" s="4" t="s">
        <v>23</v>
      </c>
      <c r="G97" s="4" t="s">
        <v>23</v>
      </c>
      <c r="H97" s="5" t="s">
        <v>24</v>
      </c>
      <c r="I97" s="5" t="s">
        <v>24</v>
      </c>
      <c r="J97" s="6"/>
      <c r="K97" s="3" t="s">
        <v>439</v>
      </c>
      <c r="L97" s="3" t="s">
        <v>440</v>
      </c>
      <c r="M97" s="3"/>
    </row>
    <row r="98" spans="1:13" ht="15" customHeight="1" x14ac:dyDescent="0.2">
      <c r="A98" s="3">
        <v>92</v>
      </c>
      <c r="B98" s="3">
        <v>15</v>
      </c>
      <c r="C98" s="3" t="s">
        <v>155</v>
      </c>
      <c r="D98" s="3" t="s">
        <v>445</v>
      </c>
      <c r="E98" s="7" t="s">
        <v>446</v>
      </c>
      <c r="F98" s="4" t="s">
        <v>23</v>
      </c>
      <c r="G98" s="4" t="s">
        <v>23</v>
      </c>
      <c r="H98" s="5" t="s">
        <v>24</v>
      </c>
      <c r="I98" s="5" t="s">
        <v>24</v>
      </c>
      <c r="J98" s="6"/>
      <c r="K98" s="3" t="s">
        <v>439</v>
      </c>
      <c r="L98" s="3" t="s">
        <v>440</v>
      </c>
      <c r="M98" s="3"/>
    </row>
    <row r="99" spans="1:13" ht="15" customHeight="1" x14ac:dyDescent="0.2">
      <c r="A99" s="3">
        <v>93</v>
      </c>
      <c r="B99" s="3">
        <v>15</v>
      </c>
      <c r="C99" s="3" t="s">
        <v>155</v>
      </c>
      <c r="D99" s="3" t="s">
        <v>447</v>
      </c>
      <c r="E99" s="7" t="s">
        <v>448</v>
      </c>
      <c r="F99" s="4" t="s">
        <v>23</v>
      </c>
      <c r="G99" s="4" t="s">
        <v>23</v>
      </c>
      <c r="H99" s="5" t="s">
        <v>24</v>
      </c>
      <c r="I99" s="5" t="s">
        <v>24</v>
      </c>
      <c r="J99" s="6"/>
      <c r="K99" s="3" t="s">
        <v>439</v>
      </c>
      <c r="L99" s="3" t="s">
        <v>440</v>
      </c>
      <c r="M99" s="3"/>
    </row>
    <row r="100" spans="1:13" ht="15" customHeight="1" x14ac:dyDescent="0.2">
      <c r="A100" s="3">
        <v>94</v>
      </c>
      <c r="B100" s="3">
        <v>15</v>
      </c>
      <c r="C100" s="3" t="s">
        <v>155</v>
      </c>
      <c r="D100" s="3" t="s">
        <v>449</v>
      </c>
      <c r="E100" s="7" t="s">
        <v>450</v>
      </c>
      <c r="F100" s="4" t="s">
        <v>23</v>
      </c>
      <c r="G100" s="4" t="s">
        <v>23</v>
      </c>
      <c r="H100" s="5" t="s">
        <v>24</v>
      </c>
      <c r="I100" s="5" t="s">
        <v>24</v>
      </c>
      <c r="J100" s="6"/>
      <c r="K100" s="3" t="s">
        <v>439</v>
      </c>
      <c r="L100" s="3" t="s">
        <v>440</v>
      </c>
      <c r="M100" s="3"/>
    </row>
    <row r="101" spans="1:13" ht="15" customHeight="1" x14ac:dyDescent="0.2">
      <c r="A101" s="3">
        <v>95</v>
      </c>
      <c r="B101" s="3">
        <v>15</v>
      </c>
      <c r="C101" s="3" t="s">
        <v>155</v>
      </c>
      <c r="D101" s="3" t="s">
        <v>451</v>
      </c>
      <c r="E101" s="7" t="s">
        <v>452</v>
      </c>
      <c r="F101" s="4" t="s">
        <v>23</v>
      </c>
      <c r="G101" s="4" t="s">
        <v>23</v>
      </c>
      <c r="H101" s="5" t="s">
        <v>24</v>
      </c>
      <c r="I101" s="5" t="s">
        <v>24</v>
      </c>
      <c r="J101" s="6"/>
      <c r="K101" s="3" t="s">
        <v>439</v>
      </c>
      <c r="L101" s="3" t="s">
        <v>440</v>
      </c>
      <c r="M101" s="3"/>
    </row>
    <row r="102" spans="1:13" ht="15" customHeight="1" x14ac:dyDescent="0.2">
      <c r="A102" s="3">
        <v>96</v>
      </c>
      <c r="B102" s="3">
        <v>16</v>
      </c>
      <c r="C102" s="3" t="s">
        <v>163</v>
      </c>
      <c r="D102" s="3" t="s">
        <v>453</v>
      </c>
      <c r="E102" s="7" t="s">
        <v>259</v>
      </c>
      <c r="F102" s="4" t="s">
        <v>23</v>
      </c>
      <c r="G102" s="4" t="s">
        <v>23</v>
      </c>
      <c r="H102" s="5" t="s">
        <v>24</v>
      </c>
      <c r="I102" s="5" t="s">
        <v>24</v>
      </c>
      <c r="J102" s="6"/>
      <c r="K102" s="3"/>
      <c r="L102" s="3" t="s">
        <v>260</v>
      </c>
      <c r="M102" s="3"/>
    </row>
    <row r="103" spans="1:13" ht="15" customHeight="1" x14ac:dyDescent="0.2">
      <c r="A103" s="3">
        <v>97</v>
      </c>
      <c r="B103" s="3">
        <v>16</v>
      </c>
      <c r="C103" s="3" t="s">
        <v>163</v>
      </c>
      <c r="D103" s="3" t="s">
        <v>454</v>
      </c>
      <c r="E103" s="7" t="s">
        <v>455</v>
      </c>
      <c r="F103" s="4" t="s">
        <v>23</v>
      </c>
      <c r="G103" s="4" t="s">
        <v>23</v>
      </c>
      <c r="H103" s="5" t="s">
        <v>24</v>
      </c>
      <c r="I103" s="5" t="s">
        <v>24</v>
      </c>
      <c r="J103" s="6"/>
      <c r="K103" s="3"/>
      <c r="L103" s="3" t="s">
        <v>260</v>
      </c>
      <c r="M103" s="3"/>
    </row>
    <row r="104" spans="1:13" ht="15" customHeight="1" x14ac:dyDescent="0.2">
      <c r="A104" s="3">
        <v>98</v>
      </c>
      <c r="B104" s="3">
        <v>16</v>
      </c>
      <c r="C104" s="3" t="s">
        <v>163</v>
      </c>
      <c r="D104" s="3" t="s">
        <v>456</v>
      </c>
      <c r="E104" s="7" t="s">
        <v>457</v>
      </c>
      <c r="F104" s="4" t="s">
        <v>23</v>
      </c>
      <c r="G104" s="4" t="s">
        <v>23</v>
      </c>
      <c r="H104" s="5" t="s">
        <v>24</v>
      </c>
      <c r="I104" s="5" t="s">
        <v>24</v>
      </c>
      <c r="J104" s="6"/>
      <c r="K104" s="3"/>
      <c r="L104" s="3" t="s">
        <v>260</v>
      </c>
      <c r="M104" s="3"/>
    </row>
    <row r="105" spans="1:13" ht="15" customHeight="1" x14ac:dyDescent="0.2">
      <c r="A105" s="3">
        <v>99</v>
      </c>
      <c r="B105" s="3">
        <v>16</v>
      </c>
      <c r="C105" s="3" t="s">
        <v>163</v>
      </c>
      <c r="D105" s="3" t="s">
        <v>458</v>
      </c>
      <c r="E105" s="7" t="s">
        <v>459</v>
      </c>
      <c r="F105" s="4" t="s">
        <v>23</v>
      </c>
      <c r="G105" s="4" t="s">
        <v>23</v>
      </c>
      <c r="H105" s="5" t="s">
        <v>24</v>
      </c>
      <c r="I105" s="5" t="s">
        <v>24</v>
      </c>
      <c r="J105" s="6"/>
      <c r="K105" s="3"/>
      <c r="L105" s="3" t="s">
        <v>260</v>
      </c>
      <c r="M105" s="3"/>
    </row>
    <row r="106" spans="1:13" ht="15" customHeight="1" x14ac:dyDescent="0.2">
      <c r="A106" s="3">
        <v>100</v>
      </c>
      <c r="B106" s="3">
        <v>17</v>
      </c>
      <c r="C106" s="3" t="s">
        <v>168</v>
      </c>
      <c r="D106" s="3" t="s">
        <v>460</v>
      </c>
      <c r="E106" s="7" t="s">
        <v>259</v>
      </c>
      <c r="F106" s="4" t="s">
        <v>23</v>
      </c>
      <c r="G106" s="4" t="s">
        <v>23</v>
      </c>
      <c r="H106" s="5" t="s">
        <v>24</v>
      </c>
      <c r="I106" s="5" t="s">
        <v>24</v>
      </c>
      <c r="J106" s="6"/>
      <c r="K106" s="3"/>
      <c r="L106" s="3" t="s">
        <v>260</v>
      </c>
      <c r="M106" s="3"/>
    </row>
    <row r="107" spans="1:13" ht="15" customHeight="1" x14ac:dyDescent="0.2">
      <c r="A107" s="3">
        <v>101</v>
      </c>
      <c r="B107" s="3">
        <v>17</v>
      </c>
      <c r="C107" s="3" t="s">
        <v>168</v>
      </c>
      <c r="D107" s="3" t="s">
        <v>461</v>
      </c>
      <c r="E107" s="7" t="s">
        <v>462</v>
      </c>
      <c r="F107" s="4" t="s">
        <v>23</v>
      </c>
      <c r="G107" s="4" t="s">
        <v>23</v>
      </c>
      <c r="H107" s="5" t="s">
        <v>24</v>
      </c>
      <c r="I107" s="5" t="s">
        <v>24</v>
      </c>
      <c r="J107" s="6"/>
      <c r="K107" s="3"/>
      <c r="L107" s="3" t="s">
        <v>260</v>
      </c>
      <c r="M107" s="3"/>
    </row>
    <row r="108" spans="1:13" ht="15" customHeight="1" x14ac:dyDescent="0.2">
      <c r="A108" s="3">
        <v>102</v>
      </c>
      <c r="B108" s="3">
        <v>17</v>
      </c>
      <c r="C108" s="3" t="s">
        <v>168</v>
      </c>
      <c r="D108" s="3" t="s">
        <v>463</v>
      </c>
      <c r="E108" s="7" t="s">
        <v>464</v>
      </c>
      <c r="F108" s="4" t="s">
        <v>23</v>
      </c>
      <c r="G108" s="4" t="s">
        <v>23</v>
      </c>
      <c r="H108" s="5" t="s">
        <v>24</v>
      </c>
      <c r="I108" s="5" t="s">
        <v>24</v>
      </c>
      <c r="J108" s="6"/>
      <c r="K108" s="3"/>
      <c r="L108" s="3" t="s">
        <v>260</v>
      </c>
      <c r="M108" s="3"/>
    </row>
    <row r="109" spans="1:13" ht="15" customHeight="1" x14ac:dyDescent="0.2">
      <c r="A109" s="3">
        <v>103</v>
      </c>
      <c r="B109" s="3">
        <v>17</v>
      </c>
      <c r="C109" s="3" t="s">
        <v>168</v>
      </c>
      <c r="D109" s="3" t="s">
        <v>465</v>
      </c>
      <c r="E109" s="7" t="s">
        <v>466</v>
      </c>
      <c r="F109" s="4" t="s">
        <v>23</v>
      </c>
      <c r="G109" s="4" t="s">
        <v>23</v>
      </c>
      <c r="H109" s="5" t="s">
        <v>24</v>
      </c>
      <c r="I109" s="5" t="s">
        <v>24</v>
      </c>
      <c r="J109" s="6"/>
      <c r="K109" s="3"/>
      <c r="L109" s="3" t="s">
        <v>260</v>
      </c>
      <c r="M109" s="3"/>
    </row>
    <row r="110" spans="1:13" ht="15" customHeight="1" x14ac:dyDescent="0.2">
      <c r="A110" s="3">
        <v>104</v>
      </c>
      <c r="B110" s="3">
        <v>18</v>
      </c>
      <c r="C110" s="3" t="s">
        <v>171</v>
      </c>
      <c r="D110" s="3" t="s">
        <v>467</v>
      </c>
      <c r="E110" s="7" t="s">
        <v>259</v>
      </c>
      <c r="F110" s="4" t="s">
        <v>23</v>
      </c>
      <c r="G110" s="4" t="s">
        <v>23</v>
      </c>
      <c r="H110" s="5" t="s">
        <v>24</v>
      </c>
      <c r="I110" s="5" t="s">
        <v>24</v>
      </c>
      <c r="J110" s="6"/>
      <c r="K110" s="3" t="s">
        <v>468</v>
      </c>
      <c r="L110" s="3" t="s">
        <v>469</v>
      </c>
      <c r="M110" s="3"/>
    </row>
    <row r="111" spans="1:13" ht="15" customHeight="1" x14ac:dyDescent="0.2">
      <c r="A111" s="3">
        <v>105</v>
      </c>
      <c r="B111" s="3">
        <v>18</v>
      </c>
      <c r="C111" s="3" t="s">
        <v>171</v>
      </c>
      <c r="D111" s="3" t="s">
        <v>470</v>
      </c>
      <c r="E111" s="7" t="s">
        <v>442</v>
      </c>
      <c r="F111" s="4" t="s">
        <v>23</v>
      </c>
      <c r="G111" s="4" t="s">
        <v>23</v>
      </c>
      <c r="H111" s="5" t="s">
        <v>24</v>
      </c>
      <c r="I111" s="5" t="s">
        <v>24</v>
      </c>
      <c r="J111" s="6"/>
      <c r="K111" s="3" t="s">
        <v>468</v>
      </c>
      <c r="L111" s="3" t="s">
        <v>469</v>
      </c>
      <c r="M111" s="3"/>
    </row>
    <row r="112" spans="1:13" ht="15" customHeight="1" x14ac:dyDescent="0.2">
      <c r="A112" s="3">
        <v>106</v>
      </c>
      <c r="B112" s="3">
        <v>18</v>
      </c>
      <c r="C112" s="3" t="s">
        <v>171</v>
      </c>
      <c r="D112" s="3" t="s">
        <v>471</v>
      </c>
      <c r="E112" s="7" t="s">
        <v>472</v>
      </c>
      <c r="F112" s="4" t="s">
        <v>23</v>
      </c>
      <c r="G112" s="4" t="s">
        <v>23</v>
      </c>
      <c r="H112" s="5" t="s">
        <v>24</v>
      </c>
      <c r="I112" s="5" t="s">
        <v>24</v>
      </c>
      <c r="J112" s="6"/>
      <c r="K112" s="3" t="s">
        <v>468</v>
      </c>
      <c r="L112" s="3" t="s">
        <v>469</v>
      </c>
      <c r="M112" s="3"/>
    </row>
    <row r="113" spans="1:13" ht="15" customHeight="1" x14ac:dyDescent="0.2">
      <c r="A113" s="3">
        <v>107</v>
      </c>
      <c r="B113" s="3">
        <v>18</v>
      </c>
      <c r="C113" s="3" t="s">
        <v>171</v>
      </c>
      <c r="D113" s="3" t="s">
        <v>473</v>
      </c>
      <c r="E113" s="7" t="s">
        <v>474</v>
      </c>
      <c r="F113" s="4" t="s">
        <v>23</v>
      </c>
      <c r="G113" s="4" t="s">
        <v>23</v>
      </c>
      <c r="H113" s="5" t="s">
        <v>24</v>
      </c>
      <c r="I113" s="5" t="s">
        <v>24</v>
      </c>
      <c r="J113" s="6"/>
      <c r="K113" s="3" t="s">
        <v>468</v>
      </c>
      <c r="L113" s="3" t="s">
        <v>469</v>
      </c>
      <c r="M113" s="3"/>
    </row>
    <row r="114" spans="1:13" ht="15" customHeight="1" x14ac:dyDescent="0.2">
      <c r="A114" s="3">
        <v>108</v>
      </c>
      <c r="B114" s="3">
        <v>18</v>
      </c>
      <c r="C114" s="3" t="s">
        <v>171</v>
      </c>
      <c r="D114" s="3" t="s">
        <v>475</v>
      </c>
      <c r="E114" s="7" t="s">
        <v>476</v>
      </c>
      <c r="F114" s="4" t="s">
        <v>23</v>
      </c>
      <c r="G114" s="4" t="s">
        <v>23</v>
      </c>
      <c r="H114" s="5" t="s">
        <v>24</v>
      </c>
      <c r="I114" s="5" t="s">
        <v>24</v>
      </c>
      <c r="J114" s="6"/>
      <c r="K114" s="3" t="s">
        <v>468</v>
      </c>
      <c r="L114" s="3" t="s">
        <v>469</v>
      </c>
      <c r="M114" s="3"/>
    </row>
    <row r="115" spans="1:13" ht="15" customHeight="1" x14ac:dyDescent="0.2">
      <c r="A115" s="3">
        <v>109</v>
      </c>
      <c r="B115" s="3">
        <v>18</v>
      </c>
      <c r="C115" s="3" t="s">
        <v>171</v>
      </c>
      <c r="D115" s="3" t="s">
        <v>477</v>
      </c>
      <c r="E115" s="7" t="s">
        <v>478</v>
      </c>
      <c r="F115" s="4" t="s">
        <v>23</v>
      </c>
      <c r="G115" s="4" t="s">
        <v>23</v>
      </c>
      <c r="H115" s="5" t="s">
        <v>24</v>
      </c>
      <c r="I115" s="5" t="s">
        <v>24</v>
      </c>
      <c r="J115" s="6"/>
      <c r="K115" s="3" t="s">
        <v>468</v>
      </c>
      <c r="L115" s="3" t="s">
        <v>469</v>
      </c>
      <c r="M115" s="3"/>
    </row>
    <row r="116" spans="1:13" ht="15" customHeight="1" x14ac:dyDescent="0.2">
      <c r="A116" s="3">
        <v>110</v>
      </c>
      <c r="B116" s="3">
        <v>18</v>
      </c>
      <c r="C116" s="3" t="s">
        <v>171</v>
      </c>
      <c r="D116" s="3" t="s">
        <v>479</v>
      </c>
      <c r="E116" s="7" t="s">
        <v>480</v>
      </c>
      <c r="F116" s="4" t="s">
        <v>23</v>
      </c>
      <c r="G116" s="4" t="s">
        <v>23</v>
      </c>
      <c r="H116" s="5" t="s">
        <v>24</v>
      </c>
      <c r="I116" s="5" t="s">
        <v>24</v>
      </c>
      <c r="J116" s="6"/>
      <c r="K116" s="3" t="s">
        <v>468</v>
      </c>
      <c r="L116" s="3" t="s">
        <v>469</v>
      </c>
      <c r="M116" s="3"/>
    </row>
    <row r="117" spans="1:13" ht="15" customHeight="1" x14ac:dyDescent="0.2">
      <c r="A117" s="3">
        <v>111</v>
      </c>
      <c r="B117" s="3">
        <v>18</v>
      </c>
      <c r="C117" s="3" t="s">
        <v>171</v>
      </c>
      <c r="D117" s="3" t="s">
        <v>481</v>
      </c>
      <c r="E117" s="7" t="s">
        <v>482</v>
      </c>
      <c r="F117" s="4" t="s">
        <v>23</v>
      </c>
      <c r="G117" s="4" t="s">
        <v>23</v>
      </c>
      <c r="H117" s="5" t="s">
        <v>24</v>
      </c>
      <c r="I117" s="5" t="s">
        <v>24</v>
      </c>
      <c r="J117" s="6"/>
      <c r="K117" s="3" t="s">
        <v>468</v>
      </c>
      <c r="L117" s="3" t="s">
        <v>469</v>
      </c>
      <c r="M117" s="3"/>
    </row>
    <row r="118" spans="1:13" ht="15" customHeight="1" x14ac:dyDescent="0.2">
      <c r="A118" s="3">
        <v>112</v>
      </c>
      <c r="B118" s="3">
        <v>19</v>
      </c>
      <c r="C118" s="3" t="s">
        <v>178</v>
      </c>
      <c r="D118" s="3" t="s">
        <v>483</v>
      </c>
      <c r="E118" s="7" t="s">
        <v>259</v>
      </c>
      <c r="F118" s="4" t="s">
        <v>23</v>
      </c>
      <c r="G118" s="4" t="s">
        <v>23</v>
      </c>
      <c r="H118" s="5" t="s">
        <v>24</v>
      </c>
      <c r="I118" s="5" t="s">
        <v>24</v>
      </c>
      <c r="J118" s="6"/>
      <c r="K118" s="3" t="s">
        <v>484</v>
      </c>
      <c r="L118" s="3" t="s">
        <v>485</v>
      </c>
      <c r="M118" s="3"/>
    </row>
    <row r="119" spans="1:13" ht="15" customHeight="1" x14ac:dyDescent="0.2">
      <c r="A119" s="3">
        <v>113</v>
      </c>
      <c r="B119" s="3">
        <v>19</v>
      </c>
      <c r="C119" s="3" t="s">
        <v>178</v>
      </c>
      <c r="D119" s="3" t="s">
        <v>486</v>
      </c>
      <c r="E119" s="7" t="s">
        <v>442</v>
      </c>
      <c r="F119" s="4" t="s">
        <v>23</v>
      </c>
      <c r="G119" s="4" t="s">
        <v>23</v>
      </c>
      <c r="H119" s="5" t="s">
        <v>24</v>
      </c>
      <c r="I119" s="5" t="s">
        <v>24</v>
      </c>
      <c r="J119" s="6"/>
      <c r="K119" s="3" t="s">
        <v>484</v>
      </c>
      <c r="L119" s="3" t="s">
        <v>485</v>
      </c>
      <c r="M119" s="3"/>
    </row>
    <row r="120" spans="1:13" ht="15" customHeight="1" x14ac:dyDescent="0.2">
      <c r="A120" s="3">
        <v>114</v>
      </c>
      <c r="B120" s="3">
        <v>19</v>
      </c>
      <c r="C120" s="3" t="s">
        <v>178</v>
      </c>
      <c r="D120" s="3" t="s">
        <v>487</v>
      </c>
      <c r="E120" s="7" t="s">
        <v>488</v>
      </c>
      <c r="F120" s="4" t="s">
        <v>23</v>
      </c>
      <c r="G120" s="4" t="s">
        <v>23</v>
      </c>
      <c r="H120" s="5" t="s">
        <v>24</v>
      </c>
      <c r="I120" s="5" t="s">
        <v>24</v>
      </c>
      <c r="J120" s="6"/>
      <c r="K120" s="3" t="s">
        <v>484</v>
      </c>
      <c r="L120" s="3" t="s">
        <v>485</v>
      </c>
      <c r="M120" s="3"/>
    </row>
    <row r="121" spans="1:13" ht="15" customHeight="1" x14ac:dyDescent="0.2">
      <c r="A121" s="3">
        <v>115</v>
      </c>
      <c r="B121" s="3">
        <v>19</v>
      </c>
      <c r="C121" s="3" t="s">
        <v>178</v>
      </c>
      <c r="D121" s="3" t="s">
        <v>489</v>
      </c>
      <c r="E121" s="7" t="s">
        <v>490</v>
      </c>
      <c r="F121" s="4" t="s">
        <v>23</v>
      </c>
      <c r="G121" s="4" t="s">
        <v>23</v>
      </c>
      <c r="H121" s="5" t="s">
        <v>24</v>
      </c>
      <c r="I121" s="5" t="s">
        <v>24</v>
      </c>
      <c r="J121" s="6"/>
      <c r="K121" s="3" t="s">
        <v>484</v>
      </c>
      <c r="L121" s="3" t="s">
        <v>485</v>
      </c>
      <c r="M121" s="3"/>
    </row>
    <row r="122" spans="1:13" ht="15" customHeight="1" x14ac:dyDescent="0.2">
      <c r="A122" s="3">
        <v>116</v>
      </c>
      <c r="B122" s="3">
        <v>19</v>
      </c>
      <c r="C122" s="3" t="s">
        <v>178</v>
      </c>
      <c r="D122" s="3" t="s">
        <v>491</v>
      </c>
      <c r="E122" s="7" t="s">
        <v>492</v>
      </c>
      <c r="F122" s="4" t="s">
        <v>23</v>
      </c>
      <c r="G122" s="4" t="s">
        <v>23</v>
      </c>
      <c r="H122" s="5" t="s">
        <v>24</v>
      </c>
      <c r="I122" s="5" t="s">
        <v>24</v>
      </c>
      <c r="J122" s="6"/>
      <c r="K122" s="3" t="s">
        <v>484</v>
      </c>
      <c r="L122" s="3" t="s">
        <v>485</v>
      </c>
      <c r="M122" s="3"/>
    </row>
    <row r="123" spans="1:13" ht="15" customHeight="1" x14ac:dyDescent="0.2">
      <c r="A123" s="3">
        <v>117</v>
      </c>
      <c r="B123" s="3">
        <v>20</v>
      </c>
      <c r="C123" s="3" t="s">
        <v>184</v>
      </c>
      <c r="D123" s="3" t="s">
        <v>493</v>
      </c>
      <c r="E123" s="7" t="s">
        <v>494</v>
      </c>
      <c r="F123" s="4" t="s">
        <v>23</v>
      </c>
      <c r="G123" s="4" t="s">
        <v>23</v>
      </c>
      <c r="H123" s="5" t="s">
        <v>24</v>
      </c>
      <c r="I123" s="5" t="s">
        <v>24</v>
      </c>
      <c r="J123" s="6"/>
      <c r="K123" s="3" t="s">
        <v>495</v>
      </c>
      <c r="L123" s="3" t="s">
        <v>496</v>
      </c>
      <c r="M123" s="3"/>
    </row>
    <row r="124" spans="1:13" ht="15" customHeight="1" x14ac:dyDescent="0.2">
      <c r="A124" s="3">
        <v>118</v>
      </c>
      <c r="B124" s="3">
        <v>20</v>
      </c>
      <c r="C124" s="3" t="s">
        <v>184</v>
      </c>
      <c r="D124" s="3" t="s">
        <v>497</v>
      </c>
      <c r="E124" s="7" t="s">
        <v>498</v>
      </c>
      <c r="F124" s="4" t="s">
        <v>23</v>
      </c>
      <c r="G124" s="4" t="s">
        <v>23</v>
      </c>
      <c r="H124" s="5" t="s">
        <v>24</v>
      </c>
      <c r="I124" s="5" t="s">
        <v>24</v>
      </c>
      <c r="J124" s="6"/>
      <c r="K124" s="3" t="s">
        <v>495</v>
      </c>
      <c r="L124" s="3" t="s">
        <v>496</v>
      </c>
      <c r="M124" s="3"/>
    </row>
    <row r="125" spans="1:13" ht="15" customHeight="1" x14ac:dyDescent="0.2">
      <c r="A125" s="3">
        <v>119</v>
      </c>
      <c r="B125" s="3">
        <v>20</v>
      </c>
      <c r="C125" s="3" t="s">
        <v>184</v>
      </c>
      <c r="D125" s="3" t="s">
        <v>499</v>
      </c>
      <c r="E125" s="7" t="s">
        <v>500</v>
      </c>
      <c r="F125" s="4" t="s">
        <v>23</v>
      </c>
      <c r="G125" s="4" t="s">
        <v>23</v>
      </c>
      <c r="H125" s="5" t="s">
        <v>24</v>
      </c>
      <c r="I125" s="5" t="s">
        <v>24</v>
      </c>
      <c r="J125" s="6"/>
      <c r="K125" s="3" t="s">
        <v>495</v>
      </c>
      <c r="L125" s="3" t="s">
        <v>496</v>
      </c>
      <c r="M125" s="3"/>
    </row>
    <row r="126" spans="1:13" ht="15" customHeight="1" x14ac:dyDescent="0.2">
      <c r="A126" s="3">
        <v>120</v>
      </c>
      <c r="B126" s="3">
        <v>21</v>
      </c>
      <c r="C126" s="3" t="s">
        <v>191</v>
      </c>
      <c r="D126" s="3" t="s">
        <v>501</v>
      </c>
      <c r="E126" s="7" t="s">
        <v>259</v>
      </c>
      <c r="F126" s="4" t="s">
        <v>23</v>
      </c>
      <c r="G126" s="4" t="s">
        <v>23</v>
      </c>
      <c r="H126" s="5" t="s">
        <v>24</v>
      </c>
      <c r="I126" s="5" t="s">
        <v>24</v>
      </c>
      <c r="J126" s="6"/>
      <c r="K126" s="3" t="s">
        <v>502</v>
      </c>
      <c r="L126" s="3" t="s">
        <v>503</v>
      </c>
      <c r="M126" s="3"/>
    </row>
    <row r="127" spans="1:13" ht="15" customHeight="1" x14ac:dyDescent="0.2">
      <c r="A127" s="3">
        <v>121</v>
      </c>
      <c r="B127" s="3">
        <v>21</v>
      </c>
      <c r="C127" s="3" t="s">
        <v>191</v>
      </c>
      <c r="D127" s="3" t="s">
        <v>504</v>
      </c>
      <c r="E127" s="7" t="s">
        <v>442</v>
      </c>
      <c r="F127" s="4" t="s">
        <v>23</v>
      </c>
      <c r="G127" s="4" t="s">
        <v>23</v>
      </c>
      <c r="H127" s="5" t="s">
        <v>24</v>
      </c>
      <c r="I127" s="5" t="s">
        <v>24</v>
      </c>
      <c r="J127" s="6"/>
      <c r="K127" s="3" t="s">
        <v>502</v>
      </c>
      <c r="L127" s="3" t="s">
        <v>503</v>
      </c>
      <c r="M127" s="3"/>
    </row>
    <row r="128" spans="1:13" ht="15" customHeight="1" x14ac:dyDescent="0.2">
      <c r="A128" s="3">
        <v>122</v>
      </c>
      <c r="B128" s="3">
        <v>21</v>
      </c>
      <c r="C128" s="3" t="s">
        <v>191</v>
      </c>
      <c r="D128" s="3" t="s">
        <v>505</v>
      </c>
      <c r="E128" s="7" t="s">
        <v>506</v>
      </c>
      <c r="F128" s="4" t="s">
        <v>23</v>
      </c>
      <c r="G128" s="4" t="s">
        <v>23</v>
      </c>
      <c r="H128" s="5" t="s">
        <v>24</v>
      </c>
      <c r="I128" s="5" t="s">
        <v>24</v>
      </c>
      <c r="J128" s="6"/>
      <c r="K128" s="3" t="s">
        <v>502</v>
      </c>
      <c r="L128" s="3" t="s">
        <v>503</v>
      </c>
      <c r="M128" s="3"/>
    </row>
    <row r="129" spans="1:13" ht="15" customHeight="1" x14ac:dyDescent="0.2">
      <c r="A129" s="3">
        <v>123</v>
      </c>
      <c r="B129" s="3">
        <v>22</v>
      </c>
      <c r="C129" s="3" t="s">
        <v>199</v>
      </c>
      <c r="D129" s="3" t="s">
        <v>507</v>
      </c>
      <c r="E129" s="7" t="s">
        <v>259</v>
      </c>
      <c r="F129" s="4" t="s">
        <v>23</v>
      </c>
      <c r="G129" s="4" t="s">
        <v>23</v>
      </c>
      <c r="H129" s="5" t="s">
        <v>24</v>
      </c>
      <c r="I129" s="5" t="s">
        <v>24</v>
      </c>
      <c r="J129" s="6"/>
      <c r="K129" s="3" t="s">
        <v>508</v>
      </c>
      <c r="L129" s="3" t="s">
        <v>509</v>
      </c>
      <c r="M129" s="3"/>
    </row>
    <row r="130" spans="1:13" ht="15" customHeight="1" x14ac:dyDescent="0.2">
      <c r="A130" s="3">
        <v>124</v>
      </c>
      <c r="B130" s="3">
        <v>22</v>
      </c>
      <c r="C130" s="3" t="s">
        <v>199</v>
      </c>
      <c r="D130" s="3" t="s">
        <v>510</v>
      </c>
      <c r="E130" s="7" t="s">
        <v>442</v>
      </c>
      <c r="F130" s="4" t="s">
        <v>23</v>
      </c>
      <c r="G130" s="4" t="s">
        <v>23</v>
      </c>
      <c r="H130" s="5" t="s">
        <v>24</v>
      </c>
      <c r="I130" s="5" t="s">
        <v>24</v>
      </c>
      <c r="J130" s="6"/>
      <c r="K130" s="3" t="s">
        <v>508</v>
      </c>
      <c r="L130" s="3" t="s">
        <v>509</v>
      </c>
      <c r="M130" s="3"/>
    </row>
    <row r="131" spans="1:13" ht="15" customHeight="1" x14ac:dyDescent="0.2">
      <c r="A131" s="3">
        <v>125</v>
      </c>
      <c r="B131" s="3">
        <v>22</v>
      </c>
      <c r="C131" s="3" t="s">
        <v>199</v>
      </c>
      <c r="D131" s="3" t="s">
        <v>511</v>
      </c>
      <c r="E131" s="7" t="s">
        <v>512</v>
      </c>
      <c r="F131" s="4" t="s">
        <v>23</v>
      </c>
      <c r="G131" s="4" t="s">
        <v>23</v>
      </c>
      <c r="H131" s="5" t="s">
        <v>24</v>
      </c>
      <c r="I131" s="5" t="s">
        <v>24</v>
      </c>
      <c r="J131" s="6"/>
      <c r="K131" s="3" t="s">
        <v>508</v>
      </c>
      <c r="L131" s="3" t="s">
        <v>509</v>
      </c>
      <c r="M131" s="3"/>
    </row>
    <row r="132" spans="1:13" ht="15" customHeight="1" x14ac:dyDescent="0.2">
      <c r="A132" s="3">
        <v>126</v>
      </c>
      <c r="B132" s="3">
        <v>22</v>
      </c>
      <c r="C132" s="3" t="s">
        <v>199</v>
      </c>
      <c r="D132" s="3" t="s">
        <v>513</v>
      </c>
      <c r="E132" s="7" t="s">
        <v>514</v>
      </c>
      <c r="F132" s="4" t="s">
        <v>23</v>
      </c>
      <c r="G132" s="4" t="s">
        <v>23</v>
      </c>
      <c r="H132" s="5" t="s">
        <v>24</v>
      </c>
      <c r="I132" s="5" t="s">
        <v>24</v>
      </c>
      <c r="J132" s="6"/>
      <c r="K132" s="3" t="s">
        <v>508</v>
      </c>
      <c r="L132" s="3" t="s">
        <v>509</v>
      </c>
      <c r="M132" s="3"/>
    </row>
    <row r="133" spans="1:13" ht="15" customHeight="1" x14ac:dyDescent="0.2">
      <c r="A133" s="3">
        <v>127</v>
      </c>
      <c r="B133" s="3">
        <v>23</v>
      </c>
      <c r="C133" s="3" t="s">
        <v>208</v>
      </c>
      <c r="D133" s="3" t="s">
        <v>515</v>
      </c>
      <c r="E133" s="7" t="s">
        <v>259</v>
      </c>
      <c r="F133" s="4" t="s">
        <v>23</v>
      </c>
      <c r="G133" s="4" t="s">
        <v>23</v>
      </c>
      <c r="H133" s="5" t="s">
        <v>24</v>
      </c>
      <c r="I133" s="5" t="s">
        <v>24</v>
      </c>
      <c r="J133" s="6"/>
      <c r="K133" s="3" t="s">
        <v>516</v>
      </c>
      <c r="L133" s="3" t="s">
        <v>517</v>
      </c>
      <c r="M133" s="3"/>
    </row>
    <row r="134" spans="1:13" ht="15" customHeight="1" x14ac:dyDescent="0.2">
      <c r="A134" s="3">
        <v>128</v>
      </c>
      <c r="B134" s="3">
        <v>23</v>
      </c>
      <c r="C134" s="3" t="s">
        <v>208</v>
      </c>
      <c r="D134" s="3" t="s">
        <v>518</v>
      </c>
      <c r="E134" s="7" t="s">
        <v>442</v>
      </c>
      <c r="F134" s="4" t="s">
        <v>23</v>
      </c>
      <c r="G134" s="4" t="s">
        <v>23</v>
      </c>
      <c r="H134" s="5" t="s">
        <v>24</v>
      </c>
      <c r="I134" s="5" t="s">
        <v>24</v>
      </c>
      <c r="J134" s="6"/>
      <c r="K134" s="3" t="s">
        <v>516</v>
      </c>
      <c r="L134" s="3" t="s">
        <v>517</v>
      </c>
      <c r="M134" s="3"/>
    </row>
    <row r="135" spans="1:13" ht="15" customHeight="1" x14ac:dyDescent="0.2">
      <c r="A135" s="3">
        <v>129</v>
      </c>
      <c r="B135" s="3">
        <v>23</v>
      </c>
      <c r="C135" s="3" t="s">
        <v>208</v>
      </c>
      <c r="D135" s="3" t="s">
        <v>519</v>
      </c>
      <c r="E135" s="7" t="s">
        <v>520</v>
      </c>
      <c r="F135" s="4" t="s">
        <v>23</v>
      </c>
      <c r="G135" s="4" t="s">
        <v>23</v>
      </c>
      <c r="H135" s="5" t="s">
        <v>24</v>
      </c>
      <c r="I135" s="5" t="s">
        <v>24</v>
      </c>
      <c r="J135" s="6"/>
      <c r="K135" s="3" t="s">
        <v>516</v>
      </c>
      <c r="L135" s="3" t="s">
        <v>517</v>
      </c>
      <c r="M135" s="3"/>
    </row>
    <row r="136" spans="1:13" ht="15" customHeight="1" x14ac:dyDescent="0.2">
      <c r="A136" s="3">
        <v>130</v>
      </c>
      <c r="B136" s="3">
        <v>23</v>
      </c>
      <c r="C136" s="3" t="s">
        <v>208</v>
      </c>
      <c r="D136" s="3" t="s">
        <v>521</v>
      </c>
      <c r="E136" s="7" t="s">
        <v>522</v>
      </c>
      <c r="F136" s="4" t="s">
        <v>23</v>
      </c>
      <c r="G136" s="4" t="s">
        <v>23</v>
      </c>
      <c r="H136" s="5" t="s">
        <v>24</v>
      </c>
      <c r="I136" s="5" t="s">
        <v>24</v>
      </c>
      <c r="J136" s="6"/>
      <c r="K136" s="3" t="s">
        <v>516</v>
      </c>
      <c r="L136" s="3" t="s">
        <v>517</v>
      </c>
      <c r="M136" s="3"/>
    </row>
    <row r="137" spans="1:13" ht="15" customHeight="1" x14ac:dyDescent="0.2">
      <c r="A137" s="3">
        <v>131</v>
      </c>
      <c r="B137" s="3">
        <v>24</v>
      </c>
      <c r="C137" s="3" t="s">
        <v>214</v>
      </c>
      <c r="D137" s="3" t="s">
        <v>523</v>
      </c>
      <c r="E137" s="7" t="s">
        <v>259</v>
      </c>
      <c r="F137" s="4" t="s">
        <v>23</v>
      </c>
      <c r="G137" s="4"/>
      <c r="H137" s="5" t="s">
        <v>24</v>
      </c>
      <c r="I137" s="5" t="s">
        <v>24</v>
      </c>
      <c r="J137" s="6"/>
      <c r="K137" s="3" t="s">
        <v>524</v>
      </c>
      <c r="L137" s="3" t="s">
        <v>260</v>
      </c>
      <c r="M137" s="3"/>
    </row>
    <row r="138" spans="1:13" ht="15" customHeight="1" x14ac:dyDescent="0.2">
      <c r="A138" s="3">
        <v>132</v>
      </c>
      <c r="B138" s="3">
        <v>24</v>
      </c>
      <c r="C138" s="3" t="s">
        <v>214</v>
      </c>
      <c r="D138" s="3" t="s">
        <v>525</v>
      </c>
      <c r="E138" s="7" t="s">
        <v>526</v>
      </c>
      <c r="F138" s="4" t="s">
        <v>23</v>
      </c>
      <c r="G138" s="4"/>
      <c r="H138" s="5" t="s">
        <v>24</v>
      </c>
      <c r="I138" s="5" t="s">
        <v>24</v>
      </c>
      <c r="J138" s="6"/>
      <c r="K138" s="3" t="s">
        <v>524</v>
      </c>
      <c r="L138" s="3" t="s">
        <v>260</v>
      </c>
      <c r="M138" s="3"/>
    </row>
    <row r="139" spans="1:13" ht="15" customHeight="1" x14ac:dyDescent="0.2">
      <c r="A139" s="3">
        <v>133</v>
      </c>
      <c r="B139" s="3">
        <v>24</v>
      </c>
      <c r="C139" s="3" t="s">
        <v>214</v>
      </c>
      <c r="D139" s="3" t="s">
        <v>527</v>
      </c>
      <c r="E139" s="7" t="s">
        <v>528</v>
      </c>
      <c r="F139" s="4" t="s">
        <v>23</v>
      </c>
      <c r="G139" s="4"/>
      <c r="H139" s="5" t="s">
        <v>24</v>
      </c>
      <c r="I139" s="5" t="s">
        <v>24</v>
      </c>
      <c r="J139" s="6"/>
      <c r="K139" s="3" t="s">
        <v>524</v>
      </c>
      <c r="L139" s="3" t="s">
        <v>260</v>
      </c>
      <c r="M139" s="3"/>
    </row>
    <row r="140" spans="1:13" ht="15" customHeight="1" x14ac:dyDescent="0.2">
      <c r="A140" s="3">
        <v>134</v>
      </c>
      <c r="B140" s="3">
        <v>24</v>
      </c>
      <c r="C140" s="3" t="s">
        <v>214</v>
      </c>
      <c r="D140" s="3" t="s">
        <v>529</v>
      </c>
      <c r="E140" s="7" t="s">
        <v>530</v>
      </c>
      <c r="F140" s="4" t="s">
        <v>23</v>
      </c>
      <c r="G140" s="4"/>
      <c r="H140" s="5" t="s">
        <v>24</v>
      </c>
      <c r="I140" s="5" t="s">
        <v>24</v>
      </c>
      <c r="J140" s="6"/>
      <c r="K140" s="3" t="s">
        <v>524</v>
      </c>
      <c r="L140" s="3" t="s">
        <v>260</v>
      </c>
      <c r="M140" s="3"/>
    </row>
    <row r="141" spans="1:13" ht="15" customHeight="1" x14ac:dyDescent="0.2">
      <c r="A141" s="3">
        <v>135</v>
      </c>
      <c r="B141" s="3">
        <v>24</v>
      </c>
      <c r="C141" s="3" t="s">
        <v>214</v>
      </c>
      <c r="D141" s="3" t="s">
        <v>531</v>
      </c>
      <c r="E141" s="7" t="s">
        <v>532</v>
      </c>
      <c r="F141" s="4" t="s">
        <v>23</v>
      </c>
      <c r="G141" s="4"/>
      <c r="H141" s="5" t="s">
        <v>24</v>
      </c>
      <c r="I141" s="5" t="s">
        <v>24</v>
      </c>
      <c r="J141" s="6"/>
      <c r="K141" s="3" t="s">
        <v>524</v>
      </c>
      <c r="L141" s="3" t="s">
        <v>260</v>
      </c>
      <c r="M141" s="3"/>
    </row>
    <row r="142" spans="1:13" ht="15" customHeight="1" x14ac:dyDescent="0.2">
      <c r="A142" s="3">
        <v>136</v>
      </c>
      <c r="B142" s="3">
        <v>25</v>
      </c>
      <c r="C142" s="3" t="s">
        <v>220</v>
      </c>
      <c r="D142" s="3" t="s">
        <v>533</v>
      </c>
      <c r="E142" s="7" t="s">
        <v>259</v>
      </c>
      <c r="F142" s="4" t="s">
        <v>23</v>
      </c>
      <c r="G142" s="4" t="s">
        <v>23</v>
      </c>
      <c r="H142" s="5" t="s">
        <v>24</v>
      </c>
      <c r="I142" s="5" t="s">
        <v>24</v>
      </c>
      <c r="J142" s="6"/>
      <c r="K142" s="3" t="s">
        <v>534</v>
      </c>
      <c r="L142" s="3" t="s">
        <v>535</v>
      </c>
      <c r="M142" s="3"/>
    </row>
    <row r="143" spans="1:13" ht="15" customHeight="1" x14ac:dyDescent="0.2">
      <c r="A143" s="3">
        <v>137</v>
      </c>
      <c r="B143" s="3">
        <v>25</v>
      </c>
      <c r="C143" s="3" t="s">
        <v>220</v>
      </c>
      <c r="D143" s="3" t="s">
        <v>536</v>
      </c>
      <c r="E143" s="7" t="s">
        <v>442</v>
      </c>
      <c r="F143" s="4" t="s">
        <v>23</v>
      </c>
      <c r="G143" s="4" t="s">
        <v>23</v>
      </c>
      <c r="H143" s="5" t="s">
        <v>24</v>
      </c>
      <c r="I143" s="5" t="s">
        <v>24</v>
      </c>
      <c r="J143" s="6"/>
      <c r="K143" s="3" t="s">
        <v>534</v>
      </c>
      <c r="L143" s="3" t="s">
        <v>535</v>
      </c>
      <c r="M143" s="3"/>
    </row>
    <row r="144" spans="1:13" ht="15" customHeight="1" x14ac:dyDescent="0.2">
      <c r="A144" s="3">
        <v>138</v>
      </c>
      <c r="B144" s="3">
        <v>25</v>
      </c>
      <c r="C144" s="3" t="s">
        <v>220</v>
      </c>
      <c r="D144" s="3" t="s">
        <v>537</v>
      </c>
      <c r="E144" s="7" t="s">
        <v>538</v>
      </c>
      <c r="F144" s="4" t="s">
        <v>23</v>
      </c>
      <c r="G144" s="4" t="s">
        <v>23</v>
      </c>
      <c r="H144" s="5" t="s">
        <v>24</v>
      </c>
      <c r="I144" s="5" t="s">
        <v>24</v>
      </c>
      <c r="J144" s="6"/>
      <c r="K144" s="3" t="s">
        <v>534</v>
      </c>
      <c r="L144" s="3" t="s">
        <v>535</v>
      </c>
      <c r="M144" s="3"/>
    </row>
    <row r="145" spans="1:13" ht="15" customHeight="1" x14ac:dyDescent="0.2">
      <c r="A145" s="3">
        <v>139</v>
      </c>
      <c r="B145" s="3">
        <v>25</v>
      </c>
      <c r="C145" s="3" t="s">
        <v>220</v>
      </c>
      <c r="D145" s="3" t="s">
        <v>539</v>
      </c>
      <c r="E145" s="7" t="s">
        <v>540</v>
      </c>
      <c r="F145" s="4" t="s">
        <v>23</v>
      </c>
      <c r="G145" s="4" t="s">
        <v>23</v>
      </c>
      <c r="H145" s="5" t="s">
        <v>24</v>
      </c>
      <c r="I145" s="5" t="s">
        <v>24</v>
      </c>
      <c r="J145" s="6"/>
      <c r="K145" s="3" t="s">
        <v>534</v>
      </c>
      <c r="L145" s="3" t="s">
        <v>535</v>
      </c>
      <c r="M145" s="3"/>
    </row>
    <row r="146" spans="1:13" ht="15" customHeight="1" x14ac:dyDescent="0.2">
      <c r="A146" s="3">
        <v>140</v>
      </c>
      <c r="B146" s="3">
        <v>25</v>
      </c>
      <c r="C146" s="3" t="s">
        <v>220</v>
      </c>
      <c r="D146" s="3" t="s">
        <v>541</v>
      </c>
      <c r="E146" s="7" t="s">
        <v>542</v>
      </c>
      <c r="F146" s="4" t="s">
        <v>23</v>
      </c>
      <c r="G146" s="4" t="s">
        <v>23</v>
      </c>
      <c r="H146" s="5" t="s">
        <v>24</v>
      </c>
      <c r="I146" s="5" t="s">
        <v>24</v>
      </c>
      <c r="J146" s="6"/>
      <c r="K146" s="3" t="s">
        <v>534</v>
      </c>
      <c r="L146" s="3" t="s">
        <v>535</v>
      </c>
      <c r="M146" s="3"/>
    </row>
    <row r="147" spans="1:13" ht="15" customHeight="1" x14ac:dyDescent="0.2">
      <c r="A147" s="3">
        <v>141</v>
      </c>
      <c r="B147" s="3">
        <v>25</v>
      </c>
      <c r="C147" s="3" t="s">
        <v>220</v>
      </c>
      <c r="D147" s="3" t="s">
        <v>543</v>
      </c>
      <c r="E147" s="7" t="s">
        <v>544</v>
      </c>
      <c r="F147" s="4" t="s">
        <v>23</v>
      </c>
      <c r="G147" s="4" t="s">
        <v>23</v>
      </c>
      <c r="H147" s="5" t="s">
        <v>24</v>
      </c>
      <c r="I147" s="5" t="s">
        <v>24</v>
      </c>
      <c r="J147" s="6"/>
      <c r="K147" s="3" t="s">
        <v>534</v>
      </c>
      <c r="L147" s="3" t="s">
        <v>535</v>
      </c>
      <c r="M147" s="3"/>
    </row>
    <row r="148" spans="1:13" ht="15" customHeight="1" x14ac:dyDescent="0.2">
      <c r="A148" s="3">
        <v>142</v>
      </c>
      <c r="B148" s="3">
        <v>26</v>
      </c>
      <c r="C148" s="3" t="s">
        <v>230</v>
      </c>
      <c r="D148" s="3" t="s">
        <v>545</v>
      </c>
      <c r="E148" s="7" t="s">
        <v>259</v>
      </c>
      <c r="F148" s="4" t="s">
        <v>23</v>
      </c>
      <c r="G148" s="4" t="s">
        <v>23</v>
      </c>
      <c r="H148" s="5" t="s">
        <v>24</v>
      </c>
      <c r="I148" s="5" t="s">
        <v>24</v>
      </c>
      <c r="J148" s="6"/>
      <c r="K148" s="3" t="s">
        <v>546</v>
      </c>
      <c r="L148" s="3" t="s">
        <v>547</v>
      </c>
      <c r="M148" s="3"/>
    </row>
    <row r="149" spans="1:13" ht="15" customHeight="1" x14ac:dyDescent="0.2">
      <c r="A149" s="3">
        <v>143</v>
      </c>
      <c r="B149" s="3">
        <v>26</v>
      </c>
      <c r="C149" s="3" t="s">
        <v>230</v>
      </c>
      <c r="D149" s="3" t="s">
        <v>548</v>
      </c>
      <c r="E149" s="7" t="s">
        <v>549</v>
      </c>
      <c r="F149" s="4" t="s">
        <v>23</v>
      </c>
      <c r="G149" s="4" t="s">
        <v>23</v>
      </c>
      <c r="H149" s="5" t="s">
        <v>24</v>
      </c>
      <c r="I149" s="5" t="s">
        <v>24</v>
      </c>
      <c r="J149" s="6"/>
      <c r="K149" s="3" t="s">
        <v>546</v>
      </c>
      <c r="L149" s="3" t="s">
        <v>547</v>
      </c>
      <c r="M149" s="3"/>
    </row>
    <row r="150" spans="1:13" ht="15" customHeight="1" x14ac:dyDescent="0.2">
      <c r="A150" s="3">
        <v>144</v>
      </c>
      <c r="B150" s="3">
        <v>26</v>
      </c>
      <c r="C150" s="3" t="s">
        <v>230</v>
      </c>
      <c r="D150" s="3" t="s">
        <v>550</v>
      </c>
      <c r="E150" s="7" t="s">
        <v>551</v>
      </c>
      <c r="F150" s="4" t="s">
        <v>23</v>
      </c>
      <c r="G150" s="4" t="s">
        <v>23</v>
      </c>
      <c r="H150" s="5" t="s">
        <v>24</v>
      </c>
      <c r="I150" s="5" t="s">
        <v>24</v>
      </c>
      <c r="J150" s="6"/>
      <c r="K150" s="3" t="s">
        <v>546</v>
      </c>
      <c r="L150" s="3" t="s">
        <v>547</v>
      </c>
      <c r="M150" s="3"/>
    </row>
    <row r="151" spans="1:13" ht="15" customHeight="1" x14ac:dyDescent="0.2">
      <c r="A151" s="3">
        <v>145</v>
      </c>
      <c r="B151" s="3">
        <v>26</v>
      </c>
      <c r="C151" s="3" t="s">
        <v>230</v>
      </c>
      <c r="D151" s="3" t="s">
        <v>552</v>
      </c>
      <c r="E151" s="7" t="s">
        <v>553</v>
      </c>
      <c r="F151" s="4" t="s">
        <v>23</v>
      </c>
      <c r="G151" s="4" t="s">
        <v>23</v>
      </c>
      <c r="H151" s="5" t="s">
        <v>24</v>
      </c>
      <c r="I151" s="5" t="s">
        <v>24</v>
      </c>
      <c r="J151" s="6"/>
      <c r="K151" s="3" t="s">
        <v>546</v>
      </c>
      <c r="L151" s="3" t="s">
        <v>547</v>
      </c>
      <c r="M151" s="3"/>
    </row>
    <row r="152" spans="1:13" ht="15" customHeight="1" x14ac:dyDescent="0.2">
      <c r="A152" s="3">
        <v>146</v>
      </c>
      <c r="B152" s="3">
        <v>26</v>
      </c>
      <c r="C152" s="3" t="s">
        <v>230</v>
      </c>
      <c r="D152" s="3" t="s">
        <v>554</v>
      </c>
      <c r="E152" s="7" t="s">
        <v>555</v>
      </c>
      <c r="F152" s="4" t="s">
        <v>23</v>
      </c>
      <c r="G152" s="4" t="s">
        <v>23</v>
      </c>
      <c r="H152" s="5" t="s">
        <v>24</v>
      </c>
      <c r="I152" s="5" t="s">
        <v>24</v>
      </c>
      <c r="J152" s="6"/>
      <c r="K152" s="3" t="s">
        <v>546</v>
      </c>
      <c r="L152" s="3" t="s">
        <v>547</v>
      </c>
      <c r="M152" s="3"/>
    </row>
    <row r="153" spans="1:13" ht="15" customHeight="1" x14ac:dyDescent="0.2">
      <c r="A153" s="3">
        <v>147</v>
      </c>
      <c r="B153" s="3">
        <v>26</v>
      </c>
      <c r="C153" s="3" t="s">
        <v>230</v>
      </c>
      <c r="D153" s="3" t="s">
        <v>556</v>
      </c>
      <c r="E153" s="7" t="s">
        <v>557</v>
      </c>
      <c r="F153" s="4" t="s">
        <v>23</v>
      </c>
      <c r="G153" s="4" t="s">
        <v>23</v>
      </c>
      <c r="H153" s="5" t="s">
        <v>24</v>
      </c>
      <c r="I153" s="5" t="s">
        <v>24</v>
      </c>
      <c r="J153" s="6"/>
      <c r="K153" s="3" t="s">
        <v>546</v>
      </c>
      <c r="L153" s="3" t="s">
        <v>547</v>
      </c>
      <c r="M153" s="3"/>
    </row>
    <row r="154" spans="1:13" ht="15" customHeight="1" x14ac:dyDescent="0.2">
      <c r="A154" s="3">
        <v>148</v>
      </c>
      <c r="B154" s="3">
        <v>26</v>
      </c>
      <c r="C154" s="3" t="s">
        <v>230</v>
      </c>
      <c r="D154" s="3" t="s">
        <v>558</v>
      </c>
      <c r="E154" s="7" t="s">
        <v>559</v>
      </c>
      <c r="F154" s="4" t="s">
        <v>23</v>
      </c>
      <c r="G154" s="4" t="s">
        <v>23</v>
      </c>
      <c r="H154" s="5" t="s">
        <v>24</v>
      </c>
      <c r="I154" s="5" t="s">
        <v>24</v>
      </c>
      <c r="J154" s="6"/>
      <c r="K154" s="3" t="s">
        <v>546</v>
      </c>
      <c r="L154" s="3" t="s">
        <v>547</v>
      </c>
      <c r="M154" s="3"/>
    </row>
    <row r="155" spans="1:13" ht="15" customHeight="1" x14ac:dyDescent="0.2">
      <c r="A155" s="3">
        <v>149</v>
      </c>
      <c r="B155" s="3">
        <v>26</v>
      </c>
      <c r="C155" s="3" t="s">
        <v>230</v>
      </c>
      <c r="D155" s="3" t="s">
        <v>560</v>
      </c>
      <c r="E155" s="7" t="s">
        <v>561</v>
      </c>
      <c r="F155" s="4" t="s">
        <v>23</v>
      </c>
      <c r="G155" s="4" t="s">
        <v>23</v>
      </c>
      <c r="H155" s="5" t="s">
        <v>24</v>
      </c>
      <c r="I155" s="5" t="s">
        <v>24</v>
      </c>
      <c r="J155" s="6"/>
      <c r="K155" s="3" t="s">
        <v>546</v>
      </c>
      <c r="L155" s="3" t="s">
        <v>547</v>
      </c>
      <c r="M155" s="3"/>
    </row>
    <row r="156" spans="1:13" ht="15" customHeight="1" x14ac:dyDescent="0.2">
      <c r="A156" s="3">
        <v>150</v>
      </c>
      <c r="B156" s="3">
        <v>27</v>
      </c>
      <c r="C156" s="3" t="s">
        <v>243</v>
      </c>
      <c r="D156" s="3" t="s">
        <v>562</v>
      </c>
      <c r="E156" s="7" t="s">
        <v>259</v>
      </c>
      <c r="F156" s="4" t="s">
        <v>23</v>
      </c>
      <c r="G156" s="4" t="s">
        <v>23</v>
      </c>
      <c r="H156" s="5" t="s">
        <v>24</v>
      </c>
      <c r="I156" s="5" t="s">
        <v>24</v>
      </c>
      <c r="J156" s="6"/>
      <c r="K156" s="3" t="s">
        <v>563</v>
      </c>
      <c r="L156" s="3" t="s">
        <v>260</v>
      </c>
      <c r="M156" s="3"/>
    </row>
    <row r="157" spans="1:13" ht="15" customHeight="1" x14ac:dyDescent="0.2">
      <c r="A157" s="3">
        <v>151</v>
      </c>
      <c r="B157" s="3">
        <v>27</v>
      </c>
      <c r="C157" s="3" t="s">
        <v>243</v>
      </c>
      <c r="D157" s="3" t="s">
        <v>564</v>
      </c>
      <c r="E157" s="7" t="s">
        <v>565</v>
      </c>
      <c r="F157" s="4" t="s">
        <v>23</v>
      </c>
      <c r="G157" s="4" t="s">
        <v>23</v>
      </c>
      <c r="H157" s="5" t="s">
        <v>24</v>
      </c>
      <c r="I157" s="5" t="s">
        <v>24</v>
      </c>
      <c r="J157" s="6"/>
      <c r="K157" s="3" t="s">
        <v>563</v>
      </c>
      <c r="L157" s="3" t="s">
        <v>260</v>
      </c>
      <c r="M157" s="3"/>
    </row>
    <row r="158" spans="1:13" ht="15" customHeight="1" x14ac:dyDescent="0.2">
      <c r="A158" s="3">
        <v>152</v>
      </c>
      <c r="B158" s="3">
        <v>27</v>
      </c>
      <c r="C158" s="3" t="s">
        <v>243</v>
      </c>
      <c r="D158" s="3" t="s">
        <v>566</v>
      </c>
      <c r="E158" s="7" t="s">
        <v>567</v>
      </c>
      <c r="F158" s="4" t="s">
        <v>23</v>
      </c>
      <c r="G158" s="4" t="s">
        <v>23</v>
      </c>
      <c r="H158" s="5" t="s">
        <v>24</v>
      </c>
      <c r="I158" s="5" t="s">
        <v>24</v>
      </c>
      <c r="J158" s="6"/>
      <c r="K158" s="3" t="s">
        <v>563</v>
      </c>
      <c r="L158" s="3" t="s">
        <v>260</v>
      </c>
      <c r="M158" s="3"/>
    </row>
    <row r="159" spans="1:13" ht="15" customHeight="1" x14ac:dyDescent="0.2">
      <c r="A159" s="3">
        <v>153</v>
      </c>
      <c r="B159" s="3">
        <v>27</v>
      </c>
      <c r="C159" s="3" t="s">
        <v>243</v>
      </c>
      <c r="D159" s="3" t="s">
        <v>568</v>
      </c>
      <c r="E159" s="7" t="s">
        <v>569</v>
      </c>
      <c r="F159" s="4" t="s">
        <v>23</v>
      </c>
      <c r="G159" s="4" t="s">
        <v>23</v>
      </c>
      <c r="H159" s="5" t="s">
        <v>24</v>
      </c>
      <c r="I159" s="5" t="s">
        <v>24</v>
      </c>
      <c r="J159" s="6"/>
      <c r="K159" s="3" t="s">
        <v>563</v>
      </c>
      <c r="L159" s="3" t="s">
        <v>260</v>
      </c>
      <c r="M159" s="3"/>
    </row>
    <row r="160" spans="1:13" ht="15" customHeight="1" x14ac:dyDescent="0.2">
      <c r="A160" s="3">
        <v>154</v>
      </c>
      <c r="B160" s="3">
        <v>27</v>
      </c>
      <c r="C160" s="3" t="s">
        <v>243</v>
      </c>
      <c r="D160" s="3" t="s">
        <v>570</v>
      </c>
      <c r="E160" s="7" t="s">
        <v>571</v>
      </c>
      <c r="F160" s="4" t="s">
        <v>23</v>
      </c>
      <c r="G160" s="4" t="s">
        <v>23</v>
      </c>
      <c r="H160" s="5" t="s">
        <v>24</v>
      </c>
      <c r="I160" s="5" t="s">
        <v>24</v>
      </c>
      <c r="J160" s="6"/>
      <c r="K160" s="3" t="s">
        <v>563</v>
      </c>
      <c r="L160" s="3" t="s">
        <v>260</v>
      </c>
      <c r="M160" s="3"/>
    </row>
    <row r="161" spans="1:13" ht="15" customHeight="1" x14ac:dyDescent="0.2">
      <c r="A161" s="3">
        <v>155</v>
      </c>
      <c r="B161" s="3">
        <v>27</v>
      </c>
      <c r="C161" s="3" t="s">
        <v>243</v>
      </c>
      <c r="D161" s="3" t="s">
        <v>572</v>
      </c>
      <c r="E161" s="7" t="s">
        <v>573</v>
      </c>
      <c r="F161" s="4" t="s">
        <v>23</v>
      </c>
      <c r="G161" s="4" t="s">
        <v>23</v>
      </c>
      <c r="H161" s="5" t="s">
        <v>24</v>
      </c>
      <c r="I161" s="5" t="s">
        <v>24</v>
      </c>
      <c r="J161" s="6"/>
      <c r="K161" s="3" t="s">
        <v>563</v>
      </c>
      <c r="L161" s="3" t="s">
        <v>260</v>
      </c>
      <c r="M161" s="3"/>
    </row>
    <row r="162" spans="1:13" ht="15" customHeight="1" x14ac:dyDescent="0.2">
      <c r="A162" s="3">
        <v>156</v>
      </c>
      <c r="B162" s="3">
        <v>27</v>
      </c>
      <c r="C162" s="3" t="s">
        <v>243</v>
      </c>
      <c r="D162" s="3" t="s">
        <v>574</v>
      </c>
      <c r="E162" s="7" t="s">
        <v>575</v>
      </c>
      <c r="F162" s="4" t="s">
        <v>23</v>
      </c>
      <c r="G162" s="4" t="s">
        <v>23</v>
      </c>
      <c r="H162" s="5" t="s">
        <v>24</v>
      </c>
      <c r="I162" s="5" t="s">
        <v>24</v>
      </c>
      <c r="J162" s="6"/>
      <c r="K162" s="3" t="s">
        <v>563</v>
      </c>
      <c r="L162" s="3" t="s">
        <v>260</v>
      </c>
      <c r="M162" s="3"/>
    </row>
    <row r="163" spans="1:13" ht="15" customHeight="1" x14ac:dyDescent="0.2">
      <c r="A163" s="3">
        <v>157</v>
      </c>
      <c r="B163" s="3">
        <v>28</v>
      </c>
      <c r="C163" s="3" t="s">
        <v>247</v>
      </c>
      <c r="D163" s="3" t="s">
        <v>576</v>
      </c>
      <c r="E163" s="7" t="s">
        <v>259</v>
      </c>
      <c r="F163" s="4" t="s">
        <v>23</v>
      </c>
      <c r="G163" s="4" t="s">
        <v>23</v>
      </c>
      <c r="H163" s="5" t="s">
        <v>24</v>
      </c>
      <c r="I163" s="5" t="s">
        <v>24</v>
      </c>
      <c r="J163" s="6"/>
      <c r="K163" s="3" t="s">
        <v>577</v>
      </c>
      <c r="L163" s="3" t="s">
        <v>260</v>
      </c>
      <c r="M163" s="3"/>
    </row>
    <row r="164" spans="1:13" ht="15" customHeight="1" x14ac:dyDescent="0.2">
      <c r="A164" s="3">
        <v>158</v>
      </c>
      <c r="B164" s="3">
        <v>28</v>
      </c>
      <c r="C164" s="3" t="s">
        <v>247</v>
      </c>
      <c r="D164" s="3" t="s">
        <v>578</v>
      </c>
      <c r="E164" s="7" t="s">
        <v>579</v>
      </c>
      <c r="F164" s="4" t="s">
        <v>23</v>
      </c>
      <c r="G164" s="4" t="s">
        <v>23</v>
      </c>
      <c r="H164" s="5" t="s">
        <v>24</v>
      </c>
      <c r="I164" s="5" t="s">
        <v>24</v>
      </c>
      <c r="J164" s="6"/>
      <c r="K164" s="3" t="s">
        <v>577</v>
      </c>
      <c r="L164" s="3" t="s">
        <v>260</v>
      </c>
      <c r="M164" s="3"/>
    </row>
    <row r="165" spans="1:13" ht="15" customHeight="1" x14ac:dyDescent="0.2">
      <c r="A165" s="3">
        <v>159</v>
      </c>
      <c r="B165" s="3">
        <v>28</v>
      </c>
      <c r="C165" s="3" t="s">
        <v>247</v>
      </c>
      <c r="D165" s="3" t="s">
        <v>580</v>
      </c>
      <c r="E165" s="7" t="s">
        <v>581</v>
      </c>
      <c r="F165" s="4" t="s">
        <v>23</v>
      </c>
      <c r="G165" s="4" t="s">
        <v>23</v>
      </c>
      <c r="H165" s="5" t="s">
        <v>24</v>
      </c>
      <c r="I165" s="5" t="s">
        <v>24</v>
      </c>
      <c r="J165" s="6"/>
      <c r="K165" s="3" t="s">
        <v>577</v>
      </c>
      <c r="L165" s="3" t="s">
        <v>260</v>
      </c>
      <c r="M165" s="3"/>
    </row>
    <row r="166" spans="1:13" ht="15" customHeight="1" x14ac:dyDescent="0.2">
      <c r="A166" s="3">
        <v>160</v>
      </c>
      <c r="B166" s="3">
        <v>28</v>
      </c>
      <c r="C166" s="3" t="s">
        <v>247</v>
      </c>
      <c r="D166" s="3" t="s">
        <v>582</v>
      </c>
      <c r="E166" s="7" t="s">
        <v>583</v>
      </c>
      <c r="F166" s="4" t="s">
        <v>23</v>
      </c>
      <c r="G166" s="4" t="s">
        <v>23</v>
      </c>
      <c r="H166" s="5" t="s">
        <v>24</v>
      </c>
      <c r="I166" s="5" t="s">
        <v>24</v>
      </c>
      <c r="J166" s="6"/>
      <c r="K166" s="3" t="s">
        <v>577</v>
      </c>
      <c r="L166" s="3" t="s">
        <v>260</v>
      </c>
      <c r="M166" s="3"/>
    </row>
    <row r="167" spans="1:13" ht="15" customHeight="1" x14ac:dyDescent="0.2">
      <c r="A167" s="3">
        <v>161</v>
      </c>
      <c r="B167" s="3">
        <v>28</v>
      </c>
      <c r="C167" s="3" t="s">
        <v>247</v>
      </c>
      <c r="D167" s="3" t="s">
        <v>584</v>
      </c>
      <c r="E167" s="7" t="s">
        <v>585</v>
      </c>
      <c r="F167" s="4" t="s">
        <v>23</v>
      </c>
      <c r="G167" s="4" t="s">
        <v>23</v>
      </c>
      <c r="H167" s="5" t="s">
        <v>24</v>
      </c>
      <c r="I167" s="5" t="s">
        <v>24</v>
      </c>
      <c r="J167" s="6"/>
      <c r="K167" s="3" t="s">
        <v>577</v>
      </c>
      <c r="L167" s="3" t="s">
        <v>260</v>
      </c>
      <c r="M167" s="3"/>
    </row>
    <row r="168" spans="1:13" ht="15" customHeight="1" x14ac:dyDescent="0.2">
      <c r="A168" s="3">
        <v>162</v>
      </c>
      <c r="B168" s="3">
        <v>28</v>
      </c>
      <c r="C168" s="3" t="s">
        <v>247</v>
      </c>
      <c r="D168" s="3" t="s">
        <v>586</v>
      </c>
      <c r="E168" s="7" t="s">
        <v>587</v>
      </c>
      <c r="F168" s="4" t="s">
        <v>23</v>
      </c>
      <c r="G168" s="4" t="s">
        <v>23</v>
      </c>
      <c r="H168" s="5" t="s">
        <v>24</v>
      </c>
      <c r="I168" s="5" t="s">
        <v>24</v>
      </c>
      <c r="J168" s="6"/>
      <c r="K168" s="3" t="s">
        <v>577</v>
      </c>
      <c r="L168" s="3" t="s">
        <v>260</v>
      </c>
      <c r="M168" s="3"/>
    </row>
    <row r="169" spans="1:13" ht="15" customHeight="1" x14ac:dyDescent="0.2">
      <c r="A169" s="3">
        <v>163</v>
      </c>
      <c r="B169" s="3">
        <v>28</v>
      </c>
      <c r="C169" s="3" t="s">
        <v>247</v>
      </c>
      <c r="D169" s="3" t="s">
        <v>588</v>
      </c>
      <c r="E169" s="7" t="s">
        <v>589</v>
      </c>
      <c r="F169" s="4" t="s">
        <v>23</v>
      </c>
      <c r="G169" s="4" t="s">
        <v>23</v>
      </c>
      <c r="H169" s="5" t="s">
        <v>24</v>
      </c>
      <c r="I169" s="5" t="s">
        <v>24</v>
      </c>
      <c r="J169" s="6"/>
      <c r="K169" s="3" t="s">
        <v>577</v>
      </c>
      <c r="L169" s="3" t="s">
        <v>260</v>
      </c>
      <c r="M169" s="3"/>
    </row>
  </sheetData>
  <mergeCells count="3">
    <mergeCell ref="A4:M4"/>
    <mergeCell ref="A3:M3"/>
    <mergeCell ref="A2:M2"/>
  </mergeCells>
  <phoneticPr fontId="9"/>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5"/>
  <sheetViews>
    <sheetView showGridLines="0" workbookViewId="0">
      <pane ySplit="6" topLeftCell="A7" activePane="bottomLeft" state="frozen"/>
      <selection pane="bottomLeft" activeCell="G9" sqref="G9"/>
    </sheetView>
  </sheetViews>
  <sheetFormatPr defaultRowHeight="13" x14ac:dyDescent="0.2"/>
  <cols>
    <col min="1" max="1" width="6" customWidth="1"/>
    <col min="2" max="2" width="30" customWidth="1"/>
    <col min="3" max="3" width="26" customWidth="1"/>
    <col min="4" max="4" width="8" customWidth="1"/>
    <col min="5" max="5" width="7" customWidth="1"/>
    <col min="6" max="7" width="8" customWidth="1"/>
    <col min="8" max="8" width="9" customWidth="1"/>
    <col min="9" max="9" width="28" customWidth="1"/>
  </cols>
  <sheetData>
    <row r="1" spans="1:9" ht="6" customHeight="1" x14ac:dyDescent="0.2"/>
    <row r="2" spans="1:9" ht="26" customHeight="1" x14ac:dyDescent="0.2">
      <c r="A2" s="14" t="s">
        <v>590</v>
      </c>
      <c r="B2" s="12"/>
      <c r="C2" s="12"/>
      <c r="D2" s="12"/>
      <c r="E2" s="12"/>
      <c r="F2" s="12"/>
      <c r="G2" s="12"/>
      <c r="H2" s="12"/>
      <c r="I2" s="12"/>
    </row>
    <row r="3" spans="1:9" ht="18" customHeight="1" x14ac:dyDescent="0.2">
      <c r="A3" s="13" t="s">
        <v>1</v>
      </c>
      <c r="B3" s="12"/>
      <c r="C3" s="12"/>
      <c r="D3" s="12"/>
      <c r="E3" s="12"/>
      <c r="F3" s="12"/>
      <c r="G3" s="12"/>
      <c r="H3" s="12"/>
      <c r="I3" s="12"/>
    </row>
    <row r="4" spans="1:9" ht="15" customHeight="1" x14ac:dyDescent="0.2">
      <c r="A4" s="11" t="s">
        <v>2</v>
      </c>
      <c r="B4" s="12"/>
      <c r="C4" s="12"/>
      <c r="D4" s="12"/>
      <c r="E4" s="12"/>
      <c r="F4" s="12"/>
      <c r="G4" s="12"/>
      <c r="H4" s="12"/>
      <c r="I4" s="12"/>
    </row>
    <row r="5" spans="1:9" ht="4" customHeight="1" x14ac:dyDescent="0.2"/>
    <row r="6" spans="1:9" ht="32" customHeight="1" x14ac:dyDescent="0.2">
      <c r="A6" s="1" t="s">
        <v>3</v>
      </c>
      <c r="B6" s="1" t="s">
        <v>5</v>
      </c>
      <c r="C6" s="1" t="s">
        <v>591</v>
      </c>
      <c r="D6" s="1" t="s">
        <v>592</v>
      </c>
      <c r="E6" s="1" t="s">
        <v>593</v>
      </c>
      <c r="F6" s="1" t="s">
        <v>594</v>
      </c>
      <c r="G6" s="1" t="s">
        <v>595</v>
      </c>
      <c r="H6" s="1" t="s">
        <v>596</v>
      </c>
      <c r="I6" s="1" t="s">
        <v>18</v>
      </c>
    </row>
    <row r="7" spans="1:9" ht="15" customHeight="1" x14ac:dyDescent="0.2">
      <c r="A7" s="4">
        <v>1</v>
      </c>
      <c r="B7" s="3" t="s">
        <v>19</v>
      </c>
      <c r="C7" s="3" t="s">
        <v>597</v>
      </c>
      <c r="D7" s="8">
        <f>COUNTIF(提出物チェックリスト!$B$7:$B$88,$A7)</f>
        <v>5</v>
      </c>
      <c r="E7" s="8">
        <f>COUNTIF(チェックポイント確認!$B$7:$B$169,$A7)</f>
        <v>7</v>
      </c>
      <c r="F7" s="4" t="s">
        <v>23</v>
      </c>
      <c r="G7" s="4"/>
      <c r="H7" s="4">
        <v>0</v>
      </c>
      <c r="I7" s="3"/>
    </row>
    <row r="8" spans="1:9" ht="15" customHeight="1" x14ac:dyDescent="0.2">
      <c r="A8" s="4">
        <v>2</v>
      </c>
      <c r="B8" s="3" t="s">
        <v>40</v>
      </c>
      <c r="C8" s="3" t="s">
        <v>598</v>
      </c>
      <c r="D8" s="8">
        <f>COUNTIF(提出物チェックリスト!$B$7:$B$88,$A8)</f>
        <v>2</v>
      </c>
      <c r="E8" s="8">
        <f>COUNTIF(チェックポイント確認!$B$7:$B$169,$A8)</f>
        <v>6</v>
      </c>
      <c r="F8" s="4" t="s">
        <v>23</v>
      </c>
      <c r="G8" s="4"/>
      <c r="H8" s="4">
        <v>0</v>
      </c>
      <c r="I8" s="3"/>
    </row>
    <row r="9" spans="1:9" ht="15" customHeight="1" x14ac:dyDescent="0.2">
      <c r="A9" s="4">
        <v>3</v>
      </c>
      <c r="B9" s="3" t="s">
        <v>47</v>
      </c>
      <c r="C9" s="3" t="s">
        <v>599</v>
      </c>
      <c r="D9" s="8">
        <f>COUNTIF(提出物チェックリスト!$B$7:$B$88,$A9)</f>
        <v>6</v>
      </c>
      <c r="E9" s="8">
        <f>COUNTIF(チェックポイント確認!$B$7:$B$169,$A9)</f>
        <v>8</v>
      </c>
      <c r="F9" s="4" t="s">
        <v>23</v>
      </c>
      <c r="G9" s="4"/>
      <c r="H9" s="4">
        <v>0</v>
      </c>
      <c r="I9" s="3"/>
    </row>
    <row r="10" spans="1:9" ht="15" customHeight="1" x14ac:dyDescent="0.2">
      <c r="A10" s="4">
        <v>4</v>
      </c>
      <c r="B10" s="3" t="s">
        <v>64</v>
      </c>
      <c r="C10" s="3" t="s">
        <v>600</v>
      </c>
      <c r="D10" s="8">
        <f>COUNTIF(提出物チェックリスト!$B$7:$B$88,$A10)</f>
        <v>4</v>
      </c>
      <c r="E10" s="8">
        <f>COUNTIF(チェックポイント確認!$B$7:$B$169,$A10)</f>
        <v>7</v>
      </c>
      <c r="F10" s="4" t="s">
        <v>23</v>
      </c>
      <c r="G10" s="4" t="s">
        <v>23</v>
      </c>
      <c r="H10" s="4">
        <v>199</v>
      </c>
      <c r="I10" s="3"/>
    </row>
    <row r="11" spans="1:9" ht="15" customHeight="1" x14ac:dyDescent="0.2">
      <c r="A11" s="4">
        <v>5</v>
      </c>
      <c r="B11" s="3" t="s">
        <v>76</v>
      </c>
      <c r="C11" s="3" t="s">
        <v>601</v>
      </c>
      <c r="D11" s="8">
        <f>COUNTIF(提出物チェックリスト!$B$7:$B$88,$A11)</f>
        <v>4</v>
      </c>
      <c r="E11" s="8">
        <f>COUNTIF(チェックポイント確認!$B$7:$B$169,$A11)</f>
        <v>5</v>
      </c>
      <c r="F11" s="4" t="s">
        <v>23</v>
      </c>
      <c r="G11" s="4" t="s">
        <v>23</v>
      </c>
      <c r="H11" s="4">
        <v>350</v>
      </c>
      <c r="I11" s="3"/>
    </row>
    <row r="12" spans="1:9" ht="15" customHeight="1" x14ac:dyDescent="0.2">
      <c r="A12" s="4">
        <v>6</v>
      </c>
      <c r="B12" s="3" t="s">
        <v>85</v>
      </c>
      <c r="C12" s="3" t="s">
        <v>601</v>
      </c>
      <c r="D12" s="8">
        <f>COUNTIF(提出物チェックリスト!$B$7:$B$88,$A12)</f>
        <v>3</v>
      </c>
      <c r="E12" s="8">
        <f>COUNTIF(チェックポイント確認!$B$7:$B$169,$A12)</f>
        <v>8</v>
      </c>
      <c r="F12" s="4" t="s">
        <v>23</v>
      </c>
      <c r="G12" s="4" t="s">
        <v>23</v>
      </c>
      <c r="H12" s="4">
        <v>199</v>
      </c>
      <c r="I12" s="3"/>
    </row>
    <row r="13" spans="1:9" ht="15" customHeight="1" x14ac:dyDescent="0.2">
      <c r="A13" s="4">
        <v>7</v>
      </c>
      <c r="B13" s="3" t="s">
        <v>93</v>
      </c>
      <c r="C13" s="3" t="s">
        <v>601</v>
      </c>
      <c r="D13" s="8">
        <f>COUNTIF(提出物チェックリスト!$B$7:$B$88,$A13)</f>
        <v>3</v>
      </c>
      <c r="E13" s="8">
        <f>COUNTIF(チェックポイント確認!$B$7:$B$169,$A13)</f>
        <v>7</v>
      </c>
      <c r="F13" s="4" t="s">
        <v>23</v>
      </c>
      <c r="G13" s="4" t="s">
        <v>23</v>
      </c>
      <c r="H13" s="4">
        <v>0</v>
      </c>
      <c r="I13" s="3"/>
    </row>
    <row r="14" spans="1:9" ht="15" customHeight="1" x14ac:dyDescent="0.2">
      <c r="A14" s="4">
        <v>8</v>
      </c>
      <c r="B14" s="3" t="s">
        <v>103</v>
      </c>
      <c r="C14" s="3" t="s">
        <v>601</v>
      </c>
      <c r="D14" s="8">
        <f>COUNTIF(提出物チェックリスト!$B$7:$B$88,$A14)</f>
        <v>3</v>
      </c>
      <c r="E14" s="8">
        <f>COUNTIF(チェックポイント確認!$B$7:$B$169,$A14)</f>
        <v>8</v>
      </c>
      <c r="F14" s="4" t="s">
        <v>23</v>
      </c>
      <c r="G14" s="4" t="s">
        <v>23</v>
      </c>
      <c r="H14" s="4">
        <v>285</v>
      </c>
      <c r="I14" s="3"/>
    </row>
    <row r="15" spans="1:9" ht="15" customHeight="1" x14ac:dyDescent="0.2">
      <c r="A15" s="4">
        <v>9</v>
      </c>
      <c r="B15" s="3" t="s">
        <v>111</v>
      </c>
      <c r="C15" s="3" t="s">
        <v>602</v>
      </c>
      <c r="D15" s="8">
        <f>COUNTIF(提出物チェックリスト!$B$7:$B$88,$A15)</f>
        <v>3</v>
      </c>
      <c r="E15" s="8">
        <f>COUNTIF(チェックポイント確認!$B$7:$B$169,$A15)</f>
        <v>6</v>
      </c>
      <c r="F15" s="4" t="s">
        <v>23</v>
      </c>
      <c r="G15" s="4" t="s">
        <v>23</v>
      </c>
      <c r="H15" s="4">
        <v>22</v>
      </c>
      <c r="I15" s="3"/>
    </row>
    <row r="16" spans="1:9" ht="15" customHeight="1" x14ac:dyDescent="0.2">
      <c r="A16" s="4">
        <v>10</v>
      </c>
      <c r="B16" s="3" t="s">
        <v>120</v>
      </c>
      <c r="C16" s="3" t="s">
        <v>602</v>
      </c>
      <c r="D16" s="8">
        <f>COUNTIF(提出物チェックリスト!$B$7:$B$88,$A16)</f>
        <v>2</v>
      </c>
      <c r="E16" s="8">
        <f>COUNTIF(チェックポイント確認!$B$7:$B$169,$A16)</f>
        <v>5</v>
      </c>
      <c r="F16" s="4" t="s">
        <v>23</v>
      </c>
      <c r="G16" s="4" t="s">
        <v>23</v>
      </c>
      <c r="H16" s="4">
        <v>19</v>
      </c>
      <c r="I16" s="3"/>
    </row>
    <row r="17" spans="1:9" ht="15" customHeight="1" x14ac:dyDescent="0.2">
      <c r="A17" s="4">
        <v>11</v>
      </c>
      <c r="B17" s="3" t="s">
        <v>126</v>
      </c>
      <c r="C17" s="3" t="s">
        <v>603</v>
      </c>
      <c r="D17" s="8">
        <f>COUNTIF(提出物チェックリスト!$B$7:$B$88,$A17)</f>
        <v>3</v>
      </c>
      <c r="E17" s="8">
        <f>COUNTIF(チェックポイント確認!$B$7:$B$169,$A17)</f>
        <v>5</v>
      </c>
      <c r="F17" s="4" t="s">
        <v>23</v>
      </c>
      <c r="G17" s="4" t="s">
        <v>23</v>
      </c>
      <c r="H17" s="4">
        <v>17</v>
      </c>
      <c r="I17" s="3"/>
    </row>
    <row r="18" spans="1:9" ht="15" customHeight="1" x14ac:dyDescent="0.2">
      <c r="A18" s="4">
        <v>12</v>
      </c>
      <c r="B18" s="3" t="s">
        <v>133</v>
      </c>
      <c r="C18" s="3" t="s">
        <v>602</v>
      </c>
      <c r="D18" s="8">
        <f>COUNTIF(提出物チェックリスト!$B$7:$B$88,$A18)</f>
        <v>3</v>
      </c>
      <c r="E18" s="8">
        <f>COUNTIF(チェックポイント確認!$B$7:$B$169,$A18)</f>
        <v>7</v>
      </c>
      <c r="F18" s="4" t="s">
        <v>23</v>
      </c>
      <c r="G18" s="4" t="s">
        <v>23</v>
      </c>
      <c r="H18" s="4">
        <v>22</v>
      </c>
      <c r="I18" s="3"/>
    </row>
    <row r="19" spans="1:9" ht="15" customHeight="1" x14ac:dyDescent="0.2">
      <c r="A19" s="4">
        <v>13</v>
      </c>
      <c r="B19" s="3" t="s">
        <v>140</v>
      </c>
      <c r="C19" s="3" t="s">
        <v>603</v>
      </c>
      <c r="D19" s="8">
        <f>COUNTIF(提出物チェックリスト!$B$7:$B$88,$A19)</f>
        <v>3</v>
      </c>
      <c r="E19" s="8">
        <f>COUNTIF(チェックポイント確認!$B$7:$B$169,$A19)</f>
        <v>4</v>
      </c>
      <c r="F19" s="4" t="s">
        <v>23</v>
      </c>
      <c r="G19" s="4" t="s">
        <v>23</v>
      </c>
      <c r="H19" s="4">
        <v>14</v>
      </c>
      <c r="I19" s="3"/>
    </row>
    <row r="20" spans="1:9" ht="15" customHeight="1" x14ac:dyDescent="0.2">
      <c r="A20" s="4">
        <v>14</v>
      </c>
      <c r="B20" s="3" t="s">
        <v>147</v>
      </c>
      <c r="C20" s="3" t="s">
        <v>604</v>
      </c>
      <c r="D20" s="8">
        <f>COUNTIF(提出物チェックリスト!$B$7:$B$88,$A20)</f>
        <v>3</v>
      </c>
      <c r="E20" s="8">
        <f>COUNTIF(チェックポイント確認!$B$7:$B$169,$A20)</f>
        <v>5</v>
      </c>
      <c r="F20" s="4" t="s">
        <v>23</v>
      </c>
      <c r="G20" s="4" t="s">
        <v>23</v>
      </c>
      <c r="H20" s="4">
        <v>20</v>
      </c>
      <c r="I20" s="3"/>
    </row>
    <row r="21" spans="1:9" ht="15" customHeight="1" x14ac:dyDescent="0.2">
      <c r="A21" s="4">
        <v>15</v>
      </c>
      <c r="B21" s="3" t="s">
        <v>155</v>
      </c>
      <c r="C21" s="3" t="s">
        <v>604</v>
      </c>
      <c r="D21" s="8">
        <f>COUNTIF(提出物チェックリスト!$B$7:$B$88,$A21)</f>
        <v>3</v>
      </c>
      <c r="E21" s="8">
        <f>COUNTIF(チェックポイント確認!$B$7:$B$169,$A21)</f>
        <v>7</v>
      </c>
      <c r="F21" s="4" t="s">
        <v>23</v>
      </c>
      <c r="G21" s="4" t="s">
        <v>23</v>
      </c>
      <c r="H21" s="4">
        <v>18</v>
      </c>
      <c r="I21" s="3"/>
    </row>
    <row r="22" spans="1:9" ht="15" customHeight="1" x14ac:dyDescent="0.2">
      <c r="A22" s="4">
        <v>16</v>
      </c>
      <c r="B22" s="3" t="s">
        <v>163</v>
      </c>
      <c r="C22" s="3" t="s">
        <v>605</v>
      </c>
      <c r="D22" s="8">
        <f>COUNTIF(提出物チェックリスト!$B$7:$B$88,$A22)</f>
        <v>1</v>
      </c>
      <c r="E22" s="8">
        <f>COUNTIF(チェックポイント確認!$B$7:$B$169,$A22)</f>
        <v>4</v>
      </c>
      <c r="F22" s="4" t="s">
        <v>23</v>
      </c>
      <c r="G22" s="4" t="s">
        <v>23</v>
      </c>
      <c r="H22" s="4">
        <v>0</v>
      </c>
      <c r="I22" s="3"/>
    </row>
    <row r="23" spans="1:9" ht="15" customHeight="1" x14ac:dyDescent="0.2">
      <c r="A23" s="4">
        <v>17</v>
      </c>
      <c r="B23" s="3" t="s">
        <v>168</v>
      </c>
      <c r="C23" s="3" t="s">
        <v>605</v>
      </c>
      <c r="D23" s="8">
        <f>COUNTIF(提出物チェックリスト!$B$7:$B$88,$A23)</f>
        <v>1</v>
      </c>
      <c r="E23" s="8">
        <f>COUNTIF(チェックポイント確認!$B$7:$B$169,$A23)</f>
        <v>4</v>
      </c>
      <c r="F23" s="4" t="s">
        <v>23</v>
      </c>
      <c r="G23" s="4" t="s">
        <v>23</v>
      </c>
      <c r="H23" s="4">
        <v>0</v>
      </c>
      <c r="I23" s="3"/>
    </row>
    <row r="24" spans="1:9" ht="15" customHeight="1" x14ac:dyDescent="0.2">
      <c r="A24" s="4">
        <v>18</v>
      </c>
      <c r="B24" s="3" t="s">
        <v>171</v>
      </c>
      <c r="C24" s="3" t="s">
        <v>605</v>
      </c>
      <c r="D24" s="8">
        <f>COUNTIF(提出物チェックリスト!$B$7:$B$88,$A24)</f>
        <v>3</v>
      </c>
      <c r="E24" s="8">
        <f>COUNTIF(チェックポイント確認!$B$7:$B$169,$A24)</f>
        <v>8</v>
      </c>
      <c r="F24" s="4" t="s">
        <v>23</v>
      </c>
      <c r="G24" s="4" t="s">
        <v>23</v>
      </c>
      <c r="H24" s="4">
        <v>245</v>
      </c>
      <c r="I24" s="3"/>
    </row>
    <row r="25" spans="1:9" ht="15" customHeight="1" x14ac:dyDescent="0.2">
      <c r="A25" s="4">
        <v>19</v>
      </c>
      <c r="B25" s="3" t="s">
        <v>178</v>
      </c>
      <c r="C25" s="3" t="s">
        <v>605</v>
      </c>
      <c r="D25" s="8">
        <f>COUNTIF(提出物チェックリスト!$B$7:$B$88,$A25)</f>
        <v>3</v>
      </c>
      <c r="E25" s="8">
        <f>COUNTIF(チェックポイント確認!$B$7:$B$169,$A25)</f>
        <v>5</v>
      </c>
      <c r="F25" s="4" t="s">
        <v>23</v>
      </c>
      <c r="G25" s="4" t="s">
        <v>23</v>
      </c>
      <c r="H25" s="4">
        <v>195</v>
      </c>
      <c r="I25" s="3"/>
    </row>
    <row r="26" spans="1:9" ht="15" customHeight="1" x14ac:dyDescent="0.2">
      <c r="A26" s="4">
        <v>20</v>
      </c>
      <c r="B26" s="3" t="s">
        <v>184</v>
      </c>
      <c r="C26" s="3" t="s">
        <v>606</v>
      </c>
      <c r="D26" s="8">
        <f>COUNTIF(提出物チェックリスト!$B$7:$B$88,$A26)</f>
        <v>2</v>
      </c>
      <c r="E26" s="8">
        <f>COUNTIF(チェックポイント確認!$B$7:$B$169,$A26)</f>
        <v>3</v>
      </c>
      <c r="F26" s="4" t="s">
        <v>23</v>
      </c>
      <c r="G26" s="4" t="s">
        <v>23</v>
      </c>
      <c r="H26" s="4">
        <v>86</v>
      </c>
      <c r="I26" s="3"/>
    </row>
    <row r="27" spans="1:9" ht="15" customHeight="1" x14ac:dyDescent="0.2">
      <c r="A27" s="4">
        <v>21</v>
      </c>
      <c r="B27" s="3" t="s">
        <v>191</v>
      </c>
      <c r="C27" s="3" t="s">
        <v>607</v>
      </c>
      <c r="D27" s="8">
        <f>COUNTIF(提出物チェックリスト!$B$7:$B$88,$A27)</f>
        <v>3</v>
      </c>
      <c r="E27" s="8">
        <f>COUNTIF(チェックポイント確認!$B$7:$B$169,$A27)</f>
        <v>3</v>
      </c>
      <c r="F27" s="4" t="s">
        <v>23</v>
      </c>
      <c r="G27" s="4" t="s">
        <v>23</v>
      </c>
      <c r="H27" s="4">
        <v>144</v>
      </c>
      <c r="I27" s="3"/>
    </row>
    <row r="28" spans="1:9" ht="15" customHeight="1" x14ac:dyDescent="0.2">
      <c r="A28" s="4">
        <v>22</v>
      </c>
      <c r="B28" s="3" t="s">
        <v>199</v>
      </c>
      <c r="C28" s="3" t="s">
        <v>608</v>
      </c>
      <c r="D28" s="8">
        <f>COUNTIF(提出物チェックリスト!$B$7:$B$88,$A28)</f>
        <v>3</v>
      </c>
      <c r="E28" s="8">
        <f>COUNTIF(チェックポイント確認!$B$7:$B$169,$A28)</f>
        <v>4</v>
      </c>
      <c r="F28" s="4" t="s">
        <v>23</v>
      </c>
      <c r="G28" s="4" t="s">
        <v>23</v>
      </c>
      <c r="H28" s="4">
        <v>148</v>
      </c>
      <c r="I28" s="3"/>
    </row>
    <row r="29" spans="1:9" ht="15" customHeight="1" x14ac:dyDescent="0.2">
      <c r="A29" s="4">
        <v>23</v>
      </c>
      <c r="B29" s="3" t="s">
        <v>208</v>
      </c>
      <c r="C29" s="3" t="s">
        <v>599</v>
      </c>
      <c r="D29" s="8">
        <f>COUNTIF(提出物チェックリスト!$B$7:$B$88,$A29)</f>
        <v>3</v>
      </c>
      <c r="E29" s="8">
        <f>COUNTIF(チェックポイント確認!$B$7:$B$169,$A29)</f>
        <v>4</v>
      </c>
      <c r="F29" s="4" t="s">
        <v>23</v>
      </c>
      <c r="G29" s="4" t="s">
        <v>23</v>
      </c>
      <c r="H29" s="4">
        <v>139</v>
      </c>
      <c r="I29" s="3"/>
    </row>
    <row r="30" spans="1:9" ht="15" customHeight="1" x14ac:dyDescent="0.2">
      <c r="A30" s="4">
        <v>24</v>
      </c>
      <c r="B30" s="3" t="s">
        <v>214</v>
      </c>
      <c r="C30" s="3" t="s">
        <v>609</v>
      </c>
      <c r="D30" s="8">
        <f>COUNTIF(提出物チェックリスト!$B$7:$B$88,$A30)</f>
        <v>2</v>
      </c>
      <c r="E30" s="8">
        <f>COUNTIF(チェックポイント確認!$B$7:$B$169,$A30)</f>
        <v>5</v>
      </c>
      <c r="F30" s="4" t="s">
        <v>23</v>
      </c>
      <c r="G30" s="4"/>
      <c r="H30" s="4">
        <v>1</v>
      </c>
      <c r="I30" s="3"/>
    </row>
    <row r="31" spans="1:9" ht="15" customHeight="1" x14ac:dyDescent="0.2">
      <c r="A31" s="4">
        <v>25</v>
      </c>
      <c r="B31" s="3" t="s">
        <v>220</v>
      </c>
      <c r="C31" s="3" t="s">
        <v>610</v>
      </c>
      <c r="D31" s="8">
        <f>COUNTIF(提出物チェックリスト!$B$7:$B$88,$A31)</f>
        <v>4</v>
      </c>
      <c r="E31" s="8">
        <f>COUNTIF(チェックポイント確認!$B$7:$B$169,$A31)</f>
        <v>6</v>
      </c>
      <c r="F31" s="4" t="s">
        <v>23</v>
      </c>
      <c r="G31" s="4" t="s">
        <v>23</v>
      </c>
      <c r="H31" s="4">
        <v>169</v>
      </c>
      <c r="I31" s="3"/>
    </row>
    <row r="32" spans="1:9" ht="15" customHeight="1" x14ac:dyDescent="0.2">
      <c r="A32" s="4">
        <v>26</v>
      </c>
      <c r="B32" s="3" t="s">
        <v>230</v>
      </c>
      <c r="C32" s="3" t="s">
        <v>611</v>
      </c>
      <c r="D32" s="8">
        <f>COUNTIF(提出物チェックリスト!$B$7:$B$88,$A32)</f>
        <v>4</v>
      </c>
      <c r="E32" s="8">
        <f>COUNTIF(チェックポイント確認!$B$7:$B$169,$A32)</f>
        <v>8</v>
      </c>
      <c r="F32" s="4" t="s">
        <v>23</v>
      </c>
      <c r="G32" s="4" t="s">
        <v>23</v>
      </c>
      <c r="H32" s="4">
        <v>193</v>
      </c>
      <c r="I32" s="3"/>
    </row>
    <row r="33" spans="1:9" ht="15" customHeight="1" x14ac:dyDescent="0.2">
      <c r="A33" s="4">
        <v>27</v>
      </c>
      <c r="B33" s="3" t="s">
        <v>243</v>
      </c>
      <c r="C33" s="3" t="s">
        <v>612</v>
      </c>
      <c r="D33" s="8">
        <f>COUNTIF(提出物チェックリスト!$B$7:$B$88,$A33)</f>
        <v>1</v>
      </c>
      <c r="E33" s="8">
        <f>COUNTIF(チェックポイント確認!$B$7:$B$169,$A33)</f>
        <v>7</v>
      </c>
      <c r="F33" s="4" t="s">
        <v>23</v>
      </c>
      <c r="G33" s="4" t="s">
        <v>23</v>
      </c>
      <c r="H33" s="4">
        <v>1</v>
      </c>
      <c r="I33" s="3"/>
    </row>
    <row r="34" spans="1:9" ht="15" customHeight="1" x14ac:dyDescent="0.2">
      <c r="A34" s="4">
        <v>28</v>
      </c>
      <c r="B34" s="3" t="s">
        <v>247</v>
      </c>
      <c r="C34" s="3" t="s">
        <v>612</v>
      </c>
      <c r="D34" s="8">
        <f>COUNTIF(提出物チェックリスト!$B$7:$B$88,$A34)</f>
        <v>2</v>
      </c>
      <c r="E34" s="8">
        <f>COUNTIF(チェックポイント確認!$B$7:$B$169,$A34)</f>
        <v>7</v>
      </c>
      <c r="F34" s="4" t="s">
        <v>23</v>
      </c>
      <c r="G34" s="4" t="s">
        <v>23</v>
      </c>
      <c r="H34" s="4">
        <v>9</v>
      </c>
      <c r="I34" s="3"/>
    </row>
    <row r="35" spans="1:9" ht="16" customHeight="1" x14ac:dyDescent="0.2">
      <c r="A35" s="9" t="s">
        <v>613</v>
      </c>
      <c r="B35" s="9"/>
      <c r="C35" s="9"/>
      <c r="D35" s="10">
        <f>SUM(D7:D34)</f>
        <v>82</v>
      </c>
      <c r="E35" s="10">
        <f>SUM(E7:E34)</f>
        <v>163</v>
      </c>
      <c r="F35" s="9"/>
      <c r="G35" s="9"/>
      <c r="H35" s="10">
        <f>SUM(H7:H34)</f>
        <v>2495</v>
      </c>
      <c r="I35" s="9"/>
    </row>
  </sheetData>
  <mergeCells count="3">
    <mergeCell ref="A3:I3"/>
    <mergeCell ref="A4:I4"/>
    <mergeCell ref="A2:I2"/>
  </mergeCells>
  <phoneticPr fontId="9"/>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提出物チェックリスト</vt:lpstr>
      <vt:lpstr>チェックポイント確認</vt:lpstr>
      <vt:lpstr>点検項目インデックス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大仁 皓平</cp:lastModifiedBy>
  <dcterms:created xsi:type="dcterms:W3CDTF">2026-06-07T12:07:52Z</dcterms:created>
  <dcterms:modified xsi:type="dcterms:W3CDTF">2026-06-08T04:44:41Z</dcterms:modified>
</cp:coreProperties>
</file>