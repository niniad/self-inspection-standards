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提出物チェックリスト" sheetId="1" state="visible" r:id="rId3"/>
    <sheet name="チェックポイント確認" sheetId="2" state="visible" r:id="rId4"/>
    <sheet name="点検項目インデックス"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<sst xmlns="http://schemas.openxmlformats.org/spreadsheetml/2006/main" count="2457" uniqueCount="620">
  <si>
    <t xml:space="preserve">自主点検  提出物チェックリスト（構成単位版）</t>
  </si>
  <si>
    <r>
      <rPr>
        <sz val="9"/>
        <color rgb="FF333333"/>
        <rFont val="DejaVu Sans"/>
        <family val="2"/>
      </rPr>
      <t xml:space="preserve">■ 会社名</t>
    </r>
    <r>
      <rPr>
        <sz val="9"/>
        <color rgb="FF333333"/>
        <rFont val="DejaVu Sans"/>
        <family val="2"/>
        <charset val="1"/>
      </rPr>
      <t xml:space="preserve">: ________________________    ■ </t>
    </r>
    <r>
      <rPr>
        <sz val="9"/>
        <color rgb="FF333333"/>
        <rFont val="DejaVu Sans"/>
        <family val="2"/>
      </rPr>
      <t xml:space="preserve">実施期</t>
    </r>
    <r>
      <rPr>
        <sz val="9"/>
        <color rgb="FF333333"/>
        <rFont val="DejaVu Sans"/>
        <family val="2"/>
        <charset val="1"/>
      </rPr>
      <t xml:space="preserve">: ______________    ■ </t>
    </r>
    <r>
      <rPr>
        <sz val="9"/>
        <color rgb="FF333333"/>
        <rFont val="DejaVu Sans"/>
        <family val="2"/>
      </rPr>
      <t xml:space="preserve">サイクル </t>
    </r>
    <r>
      <rPr>
        <sz val="9"/>
        <color rgb="FF333333"/>
        <rFont val="DejaVu Sans"/>
        <family val="2"/>
        <charset val="1"/>
      </rPr>
      <t xml:space="preserve">(</t>
    </r>
    <r>
      <rPr>
        <sz val="9"/>
        <color rgb="FF333333"/>
        <rFont val="DejaVu Sans"/>
        <family val="2"/>
      </rPr>
      <t xml:space="preserve">年度末 </t>
    </r>
    <r>
      <rPr>
        <sz val="9"/>
        <color rgb="FF333333"/>
        <rFont val="DejaVu Sans"/>
        <family val="2"/>
        <charset val="1"/>
      </rPr>
      <t xml:space="preserve">/ </t>
    </r>
    <r>
      <rPr>
        <sz val="9"/>
        <color rgb="FF333333"/>
        <rFont val="DejaVu Sans"/>
        <family val="2"/>
      </rPr>
      <t xml:space="preserve">四半期</t>
    </r>
    <r>
      <rPr>
        <sz val="9"/>
        <color rgb="FF333333"/>
        <rFont val="DejaVu Sans"/>
        <family val="2"/>
        <charset val="1"/>
      </rPr>
      <t xml:space="preserve">): __________    ■ </t>
    </r>
    <r>
      <rPr>
        <sz val="9"/>
        <color rgb="FF333333"/>
        <rFont val="DejaVu Sans"/>
        <family val="2"/>
      </rPr>
      <t xml:space="preserve">記入者</t>
    </r>
    <r>
      <rPr>
        <sz val="9"/>
        <color rgb="FF333333"/>
        <rFont val="DejaVu Sans"/>
        <family val="2"/>
        <charset val="1"/>
      </rPr>
      <t xml:space="preserve">: ________________________</t>
    </r>
  </si>
  <si>
    <r>
      <rPr>
        <i val="true"/>
        <sz val="9"/>
        <color rgb="FF5C5C5C"/>
        <rFont val="DejaVu Sans"/>
        <family val="2"/>
      </rPr>
      <t xml:space="preserve">【凡例】  ☑提出 → □ を記入   </t>
    </r>
    <r>
      <rPr>
        <i val="true"/>
        <sz val="9"/>
        <color rgb="FF5C5C5C"/>
        <rFont val="DejaVu Sans"/>
        <family val="2"/>
        <charset val="1"/>
      </rPr>
      <t xml:space="preserve">/   </t>
    </r>
    <r>
      <rPr>
        <i val="true"/>
        <sz val="9"/>
        <color rgb="FF5C5C5C"/>
        <rFont val="DejaVu Sans"/>
        <family val="2"/>
      </rPr>
      <t xml:space="preserve">対象外・未実施 → 「該当なし」に □ 記入し、理由を記述のうえ提出可。全行チェックは必須ではありません。</t>
    </r>
  </si>
  <si>
    <t xml:space="preserve">No</t>
  </si>
  <si>
    <r>
      <rPr>
        <b val="true"/>
        <sz val="9"/>
        <color rgb="FFFFFFFF"/>
        <rFont val="DejaVu Sans"/>
        <family val="2"/>
      </rPr>
      <t xml:space="preserve">項目</t>
    </r>
    <r>
      <rPr>
        <b val="true"/>
        <sz val="9"/>
        <color rgb="FFFFFFFF"/>
        <rFont val="DejaVu Sans"/>
        <family val="2"/>
        <charset val="1"/>
      </rPr>
      <t xml:space="preserve">No</t>
    </r>
  </si>
  <si>
    <t xml:space="preserve">点検項目名</t>
  </si>
  <si>
    <t xml:space="preserve">提出物名</t>
  </si>
  <si>
    <t xml:space="preserve">提出物詳細</t>
  </si>
  <si>
    <t xml:space="preserve">区分</t>
  </si>
  <si>
    <t xml:space="preserve">提出区分</t>
  </si>
  <si>
    <t xml:space="preserve">適用の目安
（条件付き・代替・排他の場合）</t>
  </si>
  <si>
    <t xml:space="preserve">年度末</t>
  </si>
  <si>
    <t xml:space="preserve">四半期</t>
  </si>
  <si>
    <t xml:space="preserve">☑提出</t>
  </si>
  <si>
    <t xml:space="preserve">該当なし</t>
  </si>
  <si>
    <t xml:space="preserve">非該当・未提出の理由</t>
  </si>
  <si>
    <t xml:space="preserve">格納先フォルダパス</t>
  </si>
  <si>
    <t xml:space="preserve">一次ソース</t>
  </si>
  <si>
    <t xml:space="preserve">備考</t>
  </si>
  <si>
    <t xml:space="preserve">売掛金の残高確認</t>
  </si>
  <si>
    <t xml:space="preserve">残高確認状の回収結果・差異調整結果</t>
  </si>
  <si>
    <t xml:space="preserve">①成果物本体</t>
  </si>
  <si>
    <t xml:space="preserve">必須</t>
  </si>
  <si>
    <t xml:space="preserve">○</t>
  </si>
  <si>
    <t xml:space="preserve">□</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</si>
  <si>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/01_</t>
    </r>
    <r>
      <rPr>
        <sz val="9"/>
        <rFont val="DejaVu Sans"/>
        <family val="2"/>
      </rPr>
      <t xml:space="preserve">残高確認状</t>
    </r>
  </si>
  <si>
    <r>
      <rPr>
        <sz val="9"/>
        <rFont val="Calibri"/>
        <family val="0"/>
        <charset val="1"/>
      </rPr>
      <t xml:space="preserve">input/01_</t>
    </r>
    <r>
      <rPr>
        <sz val="9"/>
        <rFont val="DejaVu Sans"/>
        <family val="2"/>
      </rPr>
      <t xml:space="preserve">監査対応</t>
    </r>
    <r>
      <rPr>
        <sz val="9"/>
        <rFont val="Calibri"/>
        <family val="0"/>
        <charset val="1"/>
      </rPr>
      <t xml:space="preserve">_</t>
    </r>
    <r>
      <rPr>
        <sz val="9"/>
        <rFont val="DejaVu Sans"/>
        <family val="2"/>
      </rPr>
      <t xml:space="preserve">自主点検成果物</t>
    </r>
    <r>
      <rPr>
        <sz val="9"/>
        <rFont val="Calibri"/>
        <family val="0"/>
        <charset val="1"/>
      </rPr>
      <t xml:space="preserve">_</t>
    </r>
    <r>
      <rPr>
        <sz val="9"/>
        <rFont val="DejaVu Sans"/>
        <family val="2"/>
      </rPr>
      <t xml:space="preserve">ファイルリスト</t>
    </r>
    <r>
      <rPr>
        <sz val="9"/>
        <rFont val="Calibri"/>
        <family val="0"/>
        <charset val="1"/>
      </rPr>
      <t xml:space="preserve">_filtered.xlsx</t>
    </r>
    <r>
      <rPr>
        <sz val="9"/>
        <rFont val="DejaVu Sans"/>
        <family val="2"/>
      </rPr>
      <t xml:space="preserve">（構成単位・</t>
    </r>
    <r>
      <rPr>
        <sz val="9"/>
        <rFont val="Calibri"/>
        <family val="0"/>
        <charset val="1"/>
      </rPr>
      <t xml:space="preserve">2026</t>
    </r>
    <r>
      <rPr>
        <sz val="9"/>
        <rFont val="DejaVu Sans"/>
        <family val="2"/>
      </rPr>
      <t xml:space="preserve">年</t>
    </r>
    <r>
      <rPr>
        <sz val="9"/>
        <rFont val="Calibri"/>
        <family val="0"/>
        <charset val="1"/>
      </rPr>
      <t xml:space="preserve">3</t>
    </r>
    <r>
      <rPr>
        <sz val="9"/>
        <rFont val="DejaVu Sans"/>
        <family val="2"/>
      </rPr>
      <t xml:space="preserve">月期）</t>
    </r>
  </si>
  <si>
    <t xml:space="preserve">代替手続実施結果</t>
  </si>
  <si>
    <t xml:space="preserve">代替手続チェックリスト・入金消込管理表の検証資料</t>
  </si>
  <si>
    <t xml:space="preserve">条件付き</t>
  </si>
  <si>
    <r>
      <rPr>
        <sz val="9"/>
        <rFont val="DejaVu Sans"/>
        <family val="2"/>
      </rPr>
      <t xml:space="preserve">確認状を回収できない</t>
    </r>
    <r>
      <rPr>
        <sz val="9"/>
        <rFont val="DejaVu Sans"/>
        <family val="2"/>
        <charset val="1"/>
      </rPr>
      <t xml:space="preserve">/</t>
    </r>
    <r>
      <rPr>
        <sz val="9"/>
        <rFont val="DejaVu Sans"/>
        <family val="2"/>
      </rPr>
      <t xml:space="preserve">発送しない相手先</t>
    </r>
    <r>
      <rPr>
        <sz val="9"/>
        <rFont val="DejaVu Sans"/>
        <family val="2"/>
        <charset val="1"/>
      </rPr>
      <t xml:space="preserve">(</t>
    </r>
    <r>
      <rPr>
        <sz val="9"/>
        <rFont val="DejaVu Sans"/>
        <family val="2"/>
      </rPr>
      <t xml:space="preserve">個人・官公庁等</t>
    </r>
    <r>
      <rPr>
        <sz val="9"/>
        <rFont val="DejaVu Sans"/>
        <family val="2"/>
        <charset val="1"/>
      </rPr>
      <t xml:space="preserve">)</t>
    </r>
    <r>
      <rPr>
        <sz val="9"/>
        <rFont val="DejaVu Sans"/>
        <family val="2"/>
      </rPr>
      <t xml:space="preserve">がある場合</t>
    </r>
  </si>
  <si>
    <t xml:space="preserve">追加サンプリング結果</t>
  </si>
  <si>
    <t xml:space="preserve">②根拠資料</t>
  </si>
  <si>
    <r>
      <rPr>
        <sz val="9"/>
        <rFont val="Calibri"/>
        <family val="0"/>
        <charset val="1"/>
      </rPr>
      <t xml:space="preserve">2026</t>
    </r>
    <r>
      <rPr>
        <sz val="9"/>
        <rFont val="DejaVu Sans"/>
        <family val="2"/>
      </rPr>
      <t xml:space="preserve">年</t>
    </r>
    <r>
      <rPr>
        <sz val="9"/>
        <rFont val="Calibri"/>
        <family val="0"/>
        <charset val="1"/>
      </rPr>
      <t xml:space="preserve">6</t>
    </r>
    <r>
      <rPr>
        <sz val="9"/>
        <rFont val="DejaVu Sans"/>
        <family val="2"/>
      </rPr>
      <t xml:space="preserve">月以降入金予定の</t>
    </r>
    <r>
      <rPr>
        <sz val="9"/>
        <rFont val="Calibri"/>
        <family val="0"/>
        <charset val="1"/>
      </rPr>
      <t xml:space="preserve">3</t>
    </r>
    <r>
      <rPr>
        <sz val="9"/>
        <rFont val="DejaVu Sans"/>
        <family val="2"/>
      </rPr>
      <t xml:space="preserve">月末売掛金残高が閾値以上</t>
    </r>
  </si>
  <si>
    <t xml:space="preserve">売掛金明細</t>
  </si>
  <si>
    <r>
      <rPr>
        <sz val="9"/>
        <rFont val="Calibri"/>
        <family val="0"/>
        <charset val="1"/>
      </rPr>
      <t xml:space="preserve">2026</t>
    </r>
    <r>
      <rPr>
        <sz val="9"/>
        <rFont val="DejaVu Sans"/>
        <family val="2"/>
      </rPr>
      <t xml:space="preserve">年</t>
    </r>
    <r>
      <rPr>
        <sz val="9"/>
        <rFont val="Calibri"/>
        <family val="0"/>
        <charset val="1"/>
      </rPr>
      <t xml:space="preserve">3</t>
    </r>
    <r>
      <rPr>
        <sz val="9"/>
        <rFont val="DejaVu Sans"/>
        <family val="2"/>
      </rPr>
      <t xml:space="preserve">月末</t>
    </r>
  </si>
  <si>
    <t xml:space="preserve">③共通添付</t>
  </si>
  <si>
    <r>
      <rPr>
        <sz val="9"/>
        <rFont val="DejaVu Sans"/>
        <family val="2"/>
      </rPr>
      <t xml:space="preserve">試算表＋連結</t>
    </r>
    <r>
      <rPr>
        <sz val="9"/>
        <rFont val="DejaVu Sans"/>
        <family val="2"/>
        <charset val="1"/>
      </rPr>
      <t xml:space="preserve">PKG</t>
    </r>
    <r>
      <rPr>
        <sz val="9"/>
        <rFont val="DejaVu Sans"/>
        <family val="2"/>
      </rPr>
      <t xml:space="preserve">までの調整</t>
    </r>
  </si>
  <si>
    <r>
      <rPr>
        <sz val="9"/>
        <rFont val="Calibri"/>
        <family val="0"/>
        <charset val="1"/>
      </rPr>
      <t xml:space="preserve">3</t>
    </r>
    <r>
      <rPr>
        <sz val="9"/>
        <rFont val="DejaVu Sans"/>
        <family val="2"/>
      </rPr>
      <t xml:space="preserve">月末</t>
    </r>
  </si>
  <si>
    <t xml:space="preserve">在庫の実地棚卸</t>
  </si>
  <si>
    <t xml:space="preserve">実地棚卸の結果</t>
  </si>
  <si>
    <t xml:space="preserve">別途ガイダンスに従い提出</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</si>
  <si>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/02_</t>
    </r>
    <r>
      <rPr>
        <sz val="9"/>
        <rFont val="DejaVu Sans"/>
        <family val="2"/>
      </rPr>
      <t xml:space="preserve">在庫の実地棚卸</t>
    </r>
  </si>
  <si>
    <t xml:space="preserve">預り売上に関する親会社への情報・検討内容</t>
  </si>
  <si>
    <r>
      <rPr>
        <sz val="9"/>
        <rFont val="DejaVu Sans"/>
        <family val="2"/>
      </rPr>
      <t xml:space="preserve">預り売上</t>
    </r>
    <r>
      <rPr>
        <sz val="9"/>
        <rFont val="DejaVu Sans"/>
        <family val="2"/>
        <charset val="1"/>
      </rPr>
      <t xml:space="preserve">(</t>
    </r>
    <r>
      <rPr>
        <sz val="9"/>
        <rFont val="DejaVu Sans"/>
        <family val="2"/>
      </rPr>
      <t xml:space="preserve">請求済未出荷</t>
    </r>
    <r>
      <rPr>
        <sz val="9"/>
        <rFont val="DejaVu Sans"/>
        <family val="2"/>
        <charset val="1"/>
      </rPr>
      <t xml:space="preserve">)</t>
    </r>
    <r>
      <rPr>
        <sz val="9"/>
        <rFont val="DejaVu Sans"/>
        <family val="2"/>
      </rPr>
      <t xml:space="preserve">を計上している場合</t>
    </r>
    <r>
      <rPr>
        <sz val="9"/>
        <rFont val="DejaVu Sans"/>
        <family val="2"/>
        <charset val="1"/>
      </rPr>
      <t xml:space="preserve">(</t>
    </r>
    <r>
      <rPr>
        <sz val="9"/>
        <rFont val="DejaVu Sans"/>
        <family val="2"/>
      </rPr>
      <t xml:space="preserve">原則禁止</t>
    </r>
    <r>
      <rPr>
        <sz val="9"/>
        <rFont val="DejaVu Sans"/>
        <family val="2"/>
        <charset val="1"/>
      </rPr>
      <t xml:space="preserve">)</t>
    </r>
  </si>
  <si>
    <t xml:space="preserve">固定資産の実査</t>
  </si>
  <si>
    <t xml:space="preserve">固定資産実査報告書</t>
  </si>
  <si>
    <r>
      <rPr>
        <sz val="9"/>
        <rFont val="DejaVu Sans"/>
        <family val="2"/>
      </rPr>
      <t xml:space="preserve">確定版</t>
    </r>
    <r>
      <rPr>
        <sz val="9"/>
        <rFont val="DejaVu Sans"/>
        <family val="2"/>
        <charset val="1"/>
      </rPr>
      <t xml:space="preserve">:</t>
    </r>
    <r>
      <rPr>
        <sz val="9"/>
        <rFont val="DejaVu Sans"/>
        <family val="2"/>
      </rPr>
      <t xml:space="preserve">エクセル＋部署長検印済</t>
    </r>
    <r>
      <rPr>
        <sz val="9"/>
        <rFont val="DejaVu Sans"/>
        <family val="2"/>
        <charset val="1"/>
      </rPr>
      <t xml:space="preserve">PDF</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</si>
  <si>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/03_</t>
    </r>
    <r>
      <rPr>
        <sz val="9"/>
        <rFont val="DejaVu Sans"/>
        <family val="2"/>
      </rPr>
      <t xml:space="preserve">固定資産実査</t>
    </r>
  </si>
  <si>
    <t xml:space="preserve">現物照合の写真</t>
  </si>
  <si>
    <t xml:space="preserve">代替証跡</t>
  </si>
  <si>
    <t xml:space="preserve">登記簿・リース契約書・使用実績資料等</t>
  </si>
  <si>
    <t xml:space="preserve">代替</t>
  </si>
  <si>
    <t xml:space="preserve">現物カウントが困難な資産がある場合</t>
  </si>
  <si>
    <t xml:space="preserve">固定資産訂正仕訳が必要な資産の報告書</t>
  </si>
  <si>
    <r>
      <rPr>
        <sz val="9"/>
        <rFont val="DejaVu Sans"/>
        <family val="2"/>
      </rPr>
      <t xml:space="preserve">現物照合で訂正</t>
    </r>
    <r>
      <rPr>
        <sz val="9"/>
        <rFont val="DejaVu Sans"/>
        <family val="2"/>
        <charset val="1"/>
      </rPr>
      <t xml:space="preserve">(</t>
    </r>
    <r>
      <rPr>
        <sz val="9"/>
        <rFont val="DejaVu Sans"/>
        <family val="2"/>
      </rPr>
      <t xml:space="preserve">除却漏れ・資産性等</t>
    </r>
    <r>
      <rPr>
        <sz val="9"/>
        <rFont val="DejaVu Sans"/>
        <family val="2"/>
        <charset val="1"/>
      </rPr>
      <t xml:space="preserve">)</t>
    </r>
    <r>
      <rPr>
        <sz val="9"/>
        <rFont val="DejaVu Sans"/>
        <family val="2"/>
      </rPr>
      <t xml:space="preserve">が発覚した場合</t>
    </r>
  </si>
  <si>
    <t xml:space="preserve">修正仕訳のエビデンス</t>
  </si>
  <si>
    <r>
      <rPr>
        <sz val="9"/>
        <rFont val="Calibri"/>
        <family val="0"/>
        <charset val="1"/>
      </rPr>
      <t xml:space="preserve">Proplus</t>
    </r>
    <r>
      <rPr>
        <sz val="9"/>
        <rFont val="DejaVu Sans"/>
        <family val="2"/>
      </rPr>
      <t xml:space="preserve">モニターシート・</t>
    </r>
    <r>
      <rPr>
        <sz val="9"/>
        <rFont val="Calibri"/>
        <family val="0"/>
        <charset val="1"/>
      </rPr>
      <t xml:space="preserve">Biz∫</t>
    </r>
    <r>
      <rPr>
        <sz val="9"/>
        <rFont val="DejaVu Sans"/>
        <family val="2"/>
      </rPr>
      <t xml:space="preserve">仕訳</t>
    </r>
  </si>
  <si>
    <t xml:space="preserve">修正仕訳を起票した場合</t>
  </si>
  <si>
    <t xml:space="preserve">独立立会人による実査立会結果</t>
  </si>
  <si>
    <r>
      <rPr>
        <sz val="9"/>
        <rFont val="DejaVu Sans"/>
        <family val="2"/>
      </rPr>
      <t xml:space="preserve">第</t>
    </r>
    <r>
      <rPr>
        <sz val="9"/>
        <rFont val="DejaVu Sans"/>
        <family val="2"/>
        <charset val="1"/>
      </rPr>
      <t xml:space="preserve">2</t>
    </r>
    <r>
      <rPr>
        <sz val="9"/>
        <rFont val="DejaVu Sans"/>
        <family val="2"/>
      </rPr>
      <t xml:space="preserve">線立会対象</t>
    </r>
    <r>
      <rPr>
        <sz val="9"/>
        <rFont val="DejaVu Sans"/>
        <family val="2"/>
        <charset val="1"/>
      </rPr>
      <t xml:space="preserve">(</t>
    </r>
    <r>
      <rPr>
        <sz val="9"/>
        <rFont val="DejaVu Sans"/>
        <family val="2"/>
      </rPr>
      <t xml:space="preserve">規模条件</t>
    </r>
    <r>
      <rPr>
        <sz val="9"/>
        <rFont val="DejaVu Sans"/>
        <family val="2"/>
        <charset val="1"/>
      </rPr>
      <t xml:space="preserve">)</t>
    </r>
  </si>
  <si>
    <t xml:space="preserve">滞留債権の分析</t>
  </si>
  <si>
    <t xml:space="preserve">期末滞留債権一覧</t>
  </si>
  <si>
    <t xml:space="preserve">回収遅延理由・最新回収予定日</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</si>
  <si>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/04_</t>
    </r>
    <r>
      <rPr>
        <sz val="9"/>
        <rFont val="DejaVu Sans"/>
        <family val="2"/>
      </rPr>
      <t xml:space="preserve">滞留債権</t>
    </r>
  </si>
  <si>
    <t xml:space="preserve">売掛金明細・試算表の一致</t>
  </si>
  <si>
    <t xml:space="preserve">データソース・抽出条件</t>
  </si>
  <si>
    <t xml:space="preserve">回収遅延理由の承認証跡</t>
  </si>
  <si>
    <r>
      <rPr>
        <sz val="9"/>
        <rFont val="DejaVu Sans"/>
        <family val="2"/>
      </rPr>
      <t xml:space="preserve">部門責任者等の承認</t>
    </r>
    <r>
      <rPr>
        <sz val="9"/>
        <rFont val="DejaVu Sans"/>
        <family val="2"/>
        <charset val="1"/>
      </rPr>
      <t xml:space="preserve">(</t>
    </r>
    <r>
      <rPr>
        <sz val="9"/>
        <rFont val="DejaVu Sans"/>
        <family val="2"/>
      </rPr>
      <t xml:space="preserve">チェックリスト承認で代替可</t>
    </r>
    <r>
      <rPr>
        <sz val="9"/>
        <rFont val="DejaVu Sans"/>
        <family val="2"/>
        <charset val="1"/>
      </rPr>
      <t xml:space="preserve">)</t>
    </r>
  </si>
  <si>
    <t xml:space="preserve">外部証憑</t>
  </si>
  <si>
    <t xml:space="preserve">契約書・注文書・納品書 等</t>
  </si>
  <si>
    <t xml:space="preserve">回収遅延理由が合理的でない債権がある場合</t>
  </si>
  <si>
    <t xml:space="preserve">異常取引の分析</t>
  </si>
  <si>
    <t xml:space="preserve">年間取引データ</t>
  </si>
  <si>
    <r>
      <rPr>
        <sz val="9"/>
        <rFont val="DejaVu Sans"/>
        <family val="2"/>
      </rPr>
      <t xml:space="preserve">取引先別・案件別ソート</t>
    </r>
    <r>
      <rPr>
        <sz val="9"/>
        <rFont val="DejaVu Sans"/>
        <family val="2"/>
        <charset val="1"/>
      </rPr>
      <t xml:space="preserve">,</t>
    </r>
    <r>
      <rPr>
        <sz val="9"/>
        <rFont val="DejaVu Sans"/>
        <family val="2"/>
      </rPr>
      <t xml:space="preserve">マイナス理由記載</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</si>
  <si>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/05_</t>
    </r>
    <r>
      <rPr>
        <sz val="9"/>
        <rFont val="DejaVu Sans"/>
        <family val="2"/>
      </rPr>
      <t xml:space="preserve">売上マイナスデータ・取り消し仕訳</t>
    </r>
  </si>
  <si>
    <r>
      <rPr>
        <sz val="9"/>
        <rFont val="DejaVu Sans"/>
        <family val="2"/>
      </rPr>
      <t xml:space="preserve">翌期</t>
    </r>
    <r>
      <rPr>
        <sz val="9"/>
        <rFont val="DejaVu Sans"/>
        <family val="2"/>
        <charset val="1"/>
      </rPr>
      <t xml:space="preserve">4</t>
    </r>
    <r>
      <rPr>
        <sz val="9"/>
        <rFont val="DejaVu Sans"/>
        <family val="2"/>
      </rPr>
      <t xml:space="preserve">月分の二次提出データ</t>
    </r>
  </si>
  <si>
    <t xml:space="preserve">全明細と試算表の一致</t>
  </si>
  <si>
    <t xml:space="preserve">マイナス取引の根拠資料</t>
  </si>
  <si>
    <t xml:space="preserve">①計上妥当②取消妥当</t>
  </si>
  <si>
    <r>
      <rPr>
        <sz val="9"/>
        <rFont val="Calibri"/>
        <family val="0"/>
        <charset val="1"/>
      </rPr>
      <t xml:space="preserve">2</t>
    </r>
    <r>
      <rPr>
        <sz val="9"/>
        <rFont val="DejaVu Sans"/>
        <family val="2"/>
      </rPr>
      <t xml:space="preserve">次レビューで確認が必要な取引</t>
    </r>
  </si>
  <si>
    <t xml:space="preserve">売上の期末変動分析</t>
  </si>
  <si>
    <t xml:space="preserve">月次の売上・粗利推移データ</t>
  </si>
  <si>
    <t xml:space="preserve">グラフ・増減分析コメント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</si>
  <si>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/06_</t>
    </r>
    <r>
      <rPr>
        <sz val="9"/>
        <rFont val="DejaVu Sans"/>
        <family val="2"/>
      </rPr>
      <t xml:space="preserve">売上・粗利月次推移分析</t>
    </r>
  </si>
  <si>
    <t xml:space="preserve">試算表との一致</t>
  </si>
  <si>
    <t xml:space="preserve">増減要因の根拠証憑</t>
  </si>
  <si>
    <t xml:space="preserve">四半期末月に上昇傾向・重要変動がある場合</t>
  </si>
  <si>
    <t xml:space="preserve">収益認識アンケート（証憑提出含む）</t>
  </si>
  <si>
    <t xml:space="preserve">収益認識アンケート回答</t>
  </si>
  <si>
    <r>
      <rPr>
        <sz val="9"/>
        <rFont val="Calibri"/>
        <family val="0"/>
        <charset val="1"/>
      </rPr>
      <t xml:space="preserve">SP</t>
    </r>
    <r>
      <rPr>
        <sz val="9"/>
        <rFont val="DejaVu Sans"/>
        <family val="2"/>
      </rPr>
      <t xml:space="preserve">ファイル直接更新</t>
    </r>
    <r>
      <rPr>
        <sz val="9"/>
        <rFont val="Calibri"/>
        <family val="0"/>
        <charset val="1"/>
      </rPr>
      <t xml:space="preserve">/</t>
    </r>
    <r>
      <rPr>
        <sz val="9"/>
        <rFont val="DejaVu Sans"/>
        <family val="2"/>
      </rPr>
      <t xml:space="preserve">メール返信</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</si>
  <si>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/07_</t>
    </r>
    <r>
      <rPr>
        <sz val="9"/>
        <rFont val="DejaVu Sans"/>
        <family val="2"/>
      </rPr>
      <t xml:space="preserve">収益認識アンケート</t>
    </r>
  </si>
  <si>
    <r>
      <rPr>
        <sz val="9"/>
        <rFont val="DejaVu Sans"/>
        <family val="2"/>
      </rPr>
      <t xml:space="preserve">契約書</t>
    </r>
    <r>
      <rPr>
        <sz val="9"/>
        <rFont val="DejaVu Sans"/>
        <family val="2"/>
        <charset val="1"/>
      </rPr>
      <t xml:space="preserve">PDF</t>
    </r>
  </si>
  <si>
    <t xml:space="preserve">取引基本契約書等</t>
  </si>
  <si>
    <r>
      <rPr>
        <sz val="9"/>
        <rFont val="DejaVu Sans"/>
        <family val="2"/>
      </rPr>
      <t xml:space="preserve">年間売上金額が閾値以上の取引</t>
    </r>
    <r>
      <rPr>
        <sz val="9"/>
        <rFont val="DejaVu Sans"/>
        <family val="2"/>
        <charset val="1"/>
      </rPr>
      <t xml:space="preserve">(</t>
    </r>
    <r>
      <rPr>
        <sz val="9"/>
        <rFont val="DejaVu Sans"/>
        <family val="2"/>
      </rPr>
      <t xml:space="preserve">半期提出済は再提出不要</t>
    </r>
    <r>
      <rPr>
        <sz val="9"/>
        <rFont val="DejaVu Sans"/>
        <family val="2"/>
        <charset val="1"/>
      </rPr>
      <t xml:space="preserve">)</t>
    </r>
  </si>
  <si>
    <t xml:space="preserve">当期の売上明細データ</t>
  </si>
  <si>
    <t xml:space="preserve">試算表との一致を事前確認</t>
  </si>
  <si>
    <t xml:space="preserve">売上のカットオフテスト</t>
  </si>
  <si>
    <t xml:space="preserve">売上明細データ</t>
  </si>
  <si>
    <t xml:space="preserve">検証結果コメント付</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</si>
  <si>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/08_</t>
    </r>
    <r>
      <rPr>
        <sz val="9"/>
        <rFont val="DejaVu Sans"/>
        <family val="2"/>
      </rPr>
      <t xml:space="preserve">売上明細データ</t>
    </r>
  </si>
  <si>
    <r>
      <rPr>
        <sz val="9"/>
        <rFont val="Calibri"/>
        <family val="0"/>
        <charset val="1"/>
      </rPr>
      <t xml:space="preserve">3</t>
    </r>
    <r>
      <rPr>
        <sz val="9"/>
        <rFont val="DejaVu Sans"/>
        <family val="2"/>
      </rPr>
      <t xml:space="preserve">月単月の試算表一致</t>
    </r>
  </si>
  <si>
    <t xml:space="preserve">収益認識の根拠資料</t>
  </si>
  <si>
    <t xml:space="preserve">一定金額以上の取引に限る</t>
  </si>
  <si>
    <t xml:space="preserve">長期請負工事案件の洗い出し</t>
  </si>
  <si>
    <t xml:space="preserve">進行基準適用案件リスト</t>
  </si>
  <si>
    <t xml:space="preserve">履行義務毎の判断根拠</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</si>
  <si>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/09_</t>
    </r>
    <r>
      <rPr>
        <sz val="9"/>
        <rFont val="DejaVu Sans"/>
        <family val="2"/>
      </rPr>
      <t xml:space="preserve">工事案件の収益認識会計基準あてはめ</t>
    </r>
  </si>
  <si>
    <r>
      <rPr>
        <sz val="9"/>
        <rFont val="Calibri"/>
        <family val="0"/>
        <charset val="1"/>
      </rPr>
      <t xml:space="preserve">PKG</t>
    </r>
    <r>
      <rPr>
        <sz val="9"/>
        <rFont val="DejaVu Sans"/>
        <family val="2"/>
      </rPr>
      <t xml:space="preserve">進行基準売上との一致</t>
    </r>
  </si>
  <si>
    <t xml:space="preserve">契約書</t>
  </si>
  <si>
    <r>
      <rPr>
        <sz val="9"/>
        <rFont val="DejaVu Sans"/>
        <family val="2"/>
      </rPr>
      <t xml:space="preserve">請負高</t>
    </r>
    <r>
      <rPr>
        <sz val="9"/>
        <rFont val="DejaVu Sans"/>
        <family val="2"/>
        <charset val="1"/>
      </rPr>
      <t xml:space="preserve">5</t>
    </r>
    <r>
      <rPr>
        <sz val="9"/>
        <rFont val="DejaVu Sans"/>
        <family val="2"/>
      </rPr>
      <t xml:space="preserve">億円超の案件</t>
    </r>
  </si>
  <si>
    <r>
      <rPr>
        <sz val="9"/>
        <rFont val="DejaVu Sans"/>
        <family val="2"/>
      </rPr>
      <t xml:space="preserve">請負高が閾値超の案件</t>
    </r>
    <r>
      <rPr>
        <sz val="9"/>
        <rFont val="DejaVu Sans"/>
        <family val="2"/>
        <charset val="1"/>
      </rPr>
      <t xml:space="preserve">(No.7</t>
    </r>
    <r>
      <rPr>
        <sz val="9"/>
        <rFont val="DejaVu Sans"/>
        <family val="2"/>
      </rPr>
      <t xml:space="preserve">で提出済を確認</t>
    </r>
    <r>
      <rPr>
        <sz val="9"/>
        <rFont val="DejaVu Sans"/>
        <family val="2"/>
        <charset val="1"/>
      </rPr>
      <t xml:space="preserve">)</t>
    </r>
  </si>
  <si>
    <t xml:space="preserve">実行予算の取得・確認</t>
  </si>
  <si>
    <t xml:space="preserve">進行基準適用案件毎の実行予算 月次推移</t>
  </si>
  <si>
    <t xml:space="preserve">グラフ・増減コメント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</si>
  <si>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/10_</t>
    </r>
    <r>
      <rPr>
        <sz val="9"/>
        <rFont val="DejaVu Sans"/>
        <family val="2"/>
      </rPr>
      <t xml:space="preserve">工事案件実効予算分析</t>
    </r>
  </si>
  <si>
    <r>
      <rPr>
        <sz val="9"/>
        <rFont val="Calibri"/>
        <family val="0"/>
        <charset val="1"/>
      </rPr>
      <t xml:space="preserve">No.9</t>
    </r>
    <r>
      <rPr>
        <sz val="9"/>
        <rFont val="DejaVu Sans"/>
        <family val="2"/>
      </rPr>
      <t xml:space="preserve">リストとの整合</t>
    </r>
  </si>
  <si>
    <t xml:space="preserve">材料費の実際発生原価の確認</t>
  </si>
  <si>
    <t xml:space="preserve">原材料購買データと入庫データの月次比較表</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</si>
  <si>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/11_</t>
    </r>
    <r>
      <rPr>
        <sz val="9"/>
        <rFont val="DejaVu Sans"/>
        <family val="2"/>
      </rPr>
      <t xml:space="preserve">工事案件購買・原材料入出庫分析</t>
    </r>
  </si>
  <si>
    <t xml:space="preserve">工事案件原価明細と出庫データの紐づけ</t>
  </si>
  <si>
    <t xml:space="preserve">案件毎シート</t>
  </si>
  <si>
    <t xml:space="preserve">差異取引の外部根拠証憑</t>
  </si>
  <si>
    <t xml:space="preserve">入出庫と整合しない購買・原価明細がある場合</t>
  </si>
  <si>
    <t xml:space="preserve">進捗率の算定根拠の確認</t>
  </si>
  <si>
    <t xml:space="preserve">進行基準適用案件毎の進捗率 月次推移表</t>
  </si>
  <si>
    <t xml:space="preserve">要因コメント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</si>
  <si>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/12_</t>
    </r>
    <r>
      <rPr>
        <sz val="9"/>
        <rFont val="DejaVu Sans"/>
        <family val="2"/>
      </rPr>
      <t xml:space="preserve">工事案件進捗率分析</t>
    </r>
  </si>
  <si>
    <t xml:space="preserve">進捗率の算定根拠資料</t>
  </si>
  <si>
    <t xml:space="preserve">実行予算書・原価明細</t>
  </si>
  <si>
    <r>
      <rPr>
        <sz val="9"/>
        <rFont val="Calibri"/>
        <family val="0"/>
        <charset val="1"/>
      </rPr>
      <t xml:space="preserve">No.9</t>
    </r>
    <r>
      <rPr>
        <sz val="9"/>
        <rFont val="DejaVu Sans"/>
        <family val="2"/>
      </rPr>
      <t xml:space="preserve">整合</t>
    </r>
  </si>
  <si>
    <t xml:space="preserve">経費の実際発生原価の確認</t>
  </si>
  <si>
    <t xml:space="preserve">滞留未成工事支出金一覧</t>
  </si>
  <si>
    <t xml:space="preserve">滞留要因・初回原価発生日・振替予定日</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</si>
  <si>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/13_</t>
    </r>
    <r>
      <rPr>
        <sz val="9"/>
        <rFont val="DejaVu Sans"/>
        <family val="2"/>
      </rPr>
      <t xml:space="preserve">未成工事支出金滞留チェック</t>
    </r>
  </si>
  <si>
    <t xml:space="preserve">滞留要因の根拠証憑</t>
  </si>
  <si>
    <r>
      <rPr>
        <sz val="9"/>
        <rFont val="Calibri"/>
        <family val="0"/>
        <charset val="1"/>
      </rPr>
      <t xml:space="preserve">2</t>
    </r>
    <r>
      <rPr>
        <sz val="9"/>
        <rFont val="DejaVu Sans"/>
        <family val="2"/>
      </rPr>
      <t xml:space="preserve">次レビューで必要に応じ依頼</t>
    </r>
  </si>
  <si>
    <t xml:space="preserve">原価振替取引の要因説明</t>
  </si>
  <si>
    <t xml:space="preserve">案件毎原価明細のマイナス取引と取消・振替理由</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</si>
  <si>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/14_</t>
    </r>
    <r>
      <rPr>
        <sz val="9"/>
        <rFont val="DejaVu Sans"/>
        <family val="2"/>
      </rPr>
      <t xml:space="preserve">個別原価計算適用原価振替取引要因説明</t>
    </r>
  </si>
  <si>
    <r>
      <rPr>
        <sz val="9"/>
        <rFont val="DejaVu Sans"/>
        <family val="2"/>
      </rPr>
      <t xml:space="preserve">データソース・抽出基準</t>
    </r>
    <r>
      <rPr>
        <sz val="9"/>
        <rFont val="DejaVu Sans"/>
        <family val="2"/>
        <charset val="1"/>
      </rPr>
      <t xml:space="preserve">/</t>
    </r>
    <r>
      <rPr>
        <sz val="9"/>
        <rFont val="DejaVu Sans"/>
        <family val="2"/>
      </rPr>
      <t xml:space="preserve">手順</t>
    </r>
  </si>
  <si>
    <t xml:space="preserve">発生原価合計との一致</t>
  </si>
  <si>
    <t xml:space="preserve">原価マイナス取引の根拠証憑</t>
  </si>
  <si>
    <t xml:space="preserve">承認証跡含む</t>
  </si>
  <si>
    <t xml:space="preserve">請負高が閾値以上の案件</t>
  </si>
  <si>
    <t xml:space="preserve">低粗利案件の分析</t>
  </si>
  <si>
    <t xml:space="preserve">案件毎の利益率 月次推移表</t>
  </si>
  <si>
    <t xml:space="preserve">全案件</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</si>
  <si>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/15_</t>
    </r>
    <r>
      <rPr>
        <sz val="9"/>
        <rFont val="DejaVu Sans"/>
        <family val="2"/>
      </rPr>
      <t xml:space="preserve">個別原価計算適用粗利率分析</t>
    </r>
  </si>
  <si>
    <t xml:space="preserve">原価振替有無の調査結果と根拠資料</t>
  </si>
  <si>
    <r>
      <rPr>
        <sz val="9"/>
        <rFont val="DejaVu Sans"/>
        <family val="2"/>
      </rPr>
      <t xml:space="preserve">請負高</t>
    </r>
    <r>
      <rPr>
        <sz val="9"/>
        <rFont val="DejaVu Sans"/>
        <family val="2"/>
        <charset val="1"/>
      </rPr>
      <t xml:space="preserve">1</t>
    </r>
    <r>
      <rPr>
        <sz val="9"/>
        <rFont val="DejaVu Sans"/>
        <family val="2"/>
      </rPr>
      <t xml:space="preserve">億円以上＆利益率</t>
    </r>
    <r>
      <rPr>
        <sz val="9"/>
        <rFont val="DejaVu Sans"/>
        <family val="2"/>
        <charset val="1"/>
      </rPr>
      <t xml:space="preserve">5%</t>
    </r>
    <r>
      <rPr>
        <sz val="9"/>
        <rFont val="DejaVu Sans"/>
        <family val="2"/>
      </rPr>
      <t xml:space="preserve">以下＆一定期間変動なしの案件</t>
    </r>
  </si>
  <si>
    <r>
      <rPr>
        <sz val="9"/>
        <rFont val="Calibri"/>
        <family val="0"/>
        <charset val="1"/>
      </rPr>
      <t xml:space="preserve">No.14</t>
    </r>
    <r>
      <rPr>
        <sz val="9"/>
        <rFont val="DejaVu Sans"/>
        <family val="2"/>
      </rPr>
      <t xml:space="preserve">原価明細との整合</t>
    </r>
  </si>
  <si>
    <r>
      <rPr>
        <sz val="9"/>
        <rFont val="DejaVu Sans"/>
        <family val="2"/>
      </rPr>
      <t xml:space="preserve">社内</t>
    </r>
    <r>
      <rPr>
        <sz val="9"/>
        <rFont val="DejaVu Sans"/>
        <family val="2"/>
        <charset val="1"/>
      </rPr>
      <t xml:space="preserve">/</t>
    </r>
    <r>
      <rPr>
        <sz val="9"/>
        <rFont val="DejaVu Sans"/>
        <family val="2"/>
      </rPr>
      <t xml:space="preserve">会社間取引の価格設定の妥当性チェック</t>
    </r>
  </si>
  <si>
    <t xml:space="preserve">価格設定の妥当性確認資料</t>
  </si>
  <si>
    <r>
      <rPr>
        <sz val="9"/>
        <rFont val="DejaVu Sans"/>
        <family val="2"/>
      </rPr>
      <t xml:space="preserve">親会社が別途指定</t>
    </r>
    <r>
      <rPr>
        <sz val="9"/>
        <rFont val="DejaVu Sans"/>
        <family val="2"/>
        <charset val="1"/>
      </rPr>
      <t xml:space="preserve">(</t>
    </r>
    <r>
      <rPr>
        <sz val="9"/>
        <rFont val="DejaVu Sans"/>
        <family val="2"/>
      </rPr>
      <t xml:space="preserve">個別ルール</t>
    </r>
    <r>
      <rPr>
        <sz val="9"/>
        <rFont val="DejaVu Sans"/>
        <family val="2"/>
        <charset val="1"/>
      </rPr>
      <t xml:space="preserve">)</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</si>
  <si>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/16_</t>
    </r>
    <r>
      <rPr>
        <sz val="9"/>
        <rFont val="DejaVu Sans"/>
        <family val="2"/>
      </rPr>
      <t xml:space="preserve">社内・関係間取引価格設定の妥当性</t>
    </r>
  </si>
  <si>
    <t xml:space="preserve">費用振替取引の要因説明</t>
  </si>
  <si>
    <t xml:space="preserve">費用振替の承認者・理由の記録</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</si>
  <si>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/17_</t>
    </r>
    <r>
      <rPr>
        <sz val="9"/>
        <rFont val="DejaVu Sans"/>
        <family val="2"/>
      </rPr>
      <t xml:space="preserve">費用振替取引要因説明</t>
    </r>
  </si>
  <si>
    <t xml:space="preserve">各費用月次推移分析</t>
  </si>
  <si>
    <t xml:space="preserve">販管費の月次推移データ</t>
  </si>
  <si>
    <t xml:space="preserve">グラフ・期末月増加の分析コメント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</si>
  <si>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/18_</t>
    </r>
    <r>
      <rPr>
        <sz val="9"/>
        <rFont val="DejaVu Sans"/>
        <family val="2"/>
      </rPr>
      <t xml:space="preserve">各費用月次推移分析</t>
    </r>
  </si>
  <si>
    <t xml:space="preserve">著しい増加の根拠資料</t>
  </si>
  <si>
    <t xml:space="preserve">期末月に著しい増加がある場合</t>
  </si>
  <si>
    <t xml:space="preserve">翌期取引の確認</t>
  </si>
  <si>
    <r>
      <rPr>
        <sz val="9"/>
        <rFont val="DejaVu Sans"/>
        <family val="2"/>
      </rPr>
      <t xml:space="preserve">翌期</t>
    </r>
    <r>
      <rPr>
        <sz val="9"/>
        <rFont val="DejaVu Sans"/>
        <family val="2"/>
        <charset val="1"/>
      </rPr>
      <t xml:space="preserve">4</t>
    </r>
    <r>
      <rPr>
        <sz val="9"/>
        <rFont val="DejaVu Sans"/>
        <family val="2"/>
      </rPr>
      <t xml:space="preserve">月計上仕訳データ一覧</t>
    </r>
  </si>
  <si>
    <r>
      <rPr>
        <sz val="9"/>
        <rFont val="Calibri"/>
        <family val="0"/>
        <charset val="1"/>
      </rPr>
      <t xml:space="preserve">3</t>
    </r>
    <r>
      <rPr>
        <sz val="9"/>
        <rFont val="DejaVu Sans"/>
        <family val="2"/>
      </rPr>
      <t xml:space="preserve">月計上すべき費用の顛末</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</si>
  <si>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/19_</t>
    </r>
    <r>
      <rPr>
        <sz val="9"/>
        <rFont val="DejaVu Sans"/>
        <family val="2"/>
      </rPr>
      <t xml:space="preserve">費用計上すべき請求書有無</t>
    </r>
  </si>
  <si>
    <r>
      <rPr>
        <sz val="9"/>
        <rFont val="Calibri"/>
        <family val="0"/>
        <charset val="1"/>
      </rPr>
      <t xml:space="preserve">3</t>
    </r>
    <r>
      <rPr>
        <sz val="9"/>
        <rFont val="DejaVu Sans"/>
        <family val="2"/>
      </rPr>
      <t xml:space="preserve">月分として計上すべき費用の根拠資料</t>
    </r>
  </si>
  <si>
    <r>
      <rPr>
        <sz val="9"/>
        <rFont val="DejaVu Sans"/>
        <family val="2"/>
      </rPr>
      <t xml:space="preserve">当期</t>
    </r>
    <r>
      <rPr>
        <sz val="9"/>
        <rFont val="DejaVu Sans"/>
        <family val="2"/>
        <charset val="1"/>
      </rPr>
      <t xml:space="preserve">3</t>
    </r>
    <r>
      <rPr>
        <sz val="9"/>
        <rFont val="DejaVu Sans"/>
        <family val="2"/>
      </rPr>
      <t xml:space="preserve">月計上すべき費用が見つかった場合</t>
    </r>
  </si>
  <si>
    <t xml:space="preserve">非経常的取引の識別と説明</t>
  </si>
  <si>
    <t xml:space="preserve">管理部門が各部署から情報収集したことが分かる資料</t>
  </si>
  <si>
    <t xml:space="preserve">メール・アンケート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</si>
  <si>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/20_</t>
    </r>
    <r>
      <rPr>
        <sz val="9"/>
        <rFont val="DejaVu Sans"/>
        <family val="2"/>
      </rPr>
      <t xml:space="preserve">非経常的な事象</t>
    </r>
  </si>
  <si>
    <t xml:space="preserve">収集情報を基に会計処理を検討したことが分かる資料</t>
  </si>
  <si>
    <t xml:space="preserve">非経常的な取引・事象がある場合</t>
  </si>
  <si>
    <t xml:space="preserve">見積計上費用：計上根拠</t>
  </si>
  <si>
    <r>
      <rPr>
        <sz val="9"/>
        <rFont val="DejaVu Sans"/>
        <family val="2"/>
      </rPr>
      <t xml:space="preserve">当期</t>
    </r>
    <r>
      <rPr>
        <sz val="9"/>
        <rFont val="DejaVu Sans"/>
        <family val="2"/>
        <charset val="1"/>
      </rPr>
      <t xml:space="preserve">3</t>
    </r>
    <r>
      <rPr>
        <sz val="9"/>
        <rFont val="DejaVu Sans"/>
        <family val="2"/>
      </rPr>
      <t xml:space="preserve">月の見積計上費用リスト</t>
    </r>
  </si>
  <si>
    <t xml:space="preserve">会計処理の顛末</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</si>
  <si>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/21_</t>
    </r>
    <r>
      <rPr>
        <sz val="9"/>
        <rFont val="DejaVu Sans"/>
        <family val="2"/>
      </rPr>
      <t xml:space="preserve">見積計上費用計上根拠整理</t>
    </r>
  </si>
  <si>
    <t xml:space="preserve">見積根拠資料</t>
  </si>
  <si>
    <t xml:space="preserve">契約書・正式見積書・検針データ等</t>
  </si>
  <si>
    <t xml:space="preserve">データソース・網羅性の確認</t>
  </si>
  <si>
    <t xml:space="preserve">固定資産除却損の計上確認</t>
  </si>
  <si>
    <t xml:space="preserve">総勘定元帳から抽出した当期の除却取引</t>
  </si>
  <si>
    <t xml:space="preserve">コメント付</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</si>
  <si>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/22_</t>
    </r>
    <r>
      <rPr>
        <sz val="9"/>
        <rFont val="DejaVu Sans"/>
        <family val="2"/>
      </rPr>
      <t xml:space="preserve">固定資産除去取引</t>
    </r>
  </si>
  <si>
    <t xml:space="preserve">データソース／試算表との一致</t>
  </si>
  <si>
    <t xml:space="preserve">総勘定元帳</t>
  </si>
  <si>
    <t xml:space="preserve">除却の根拠資料</t>
  </si>
  <si>
    <t xml:space="preserve">除却申請書・廃棄証明書 等</t>
  </si>
  <si>
    <t xml:space="preserve">固定資産の資産性確認</t>
  </si>
  <si>
    <t xml:space="preserve">固定資産台帳でフラグ付けした明細＋資産計上妥当性コメント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</si>
  <si>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/23_</t>
    </r>
    <r>
      <rPr>
        <sz val="9"/>
        <rFont val="DejaVu Sans"/>
        <family val="2"/>
      </rPr>
      <t xml:space="preserve">修繕費・研究費資産計上項目</t>
    </r>
  </si>
  <si>
    <t xml:space="preserve">台帳簿価と試算表の一致</t>
  </si>
  <si>
    <t xml:space="preserve">資産計上の根拠資料</t>
  </si>
  <si>
    <t xml:space="preserve">見積書・仕様書・請求書・稟議書</t>
  </si>
  <si>
    <t xml:space="preserve">資産除去債務の計上要否の判断を証憑に基づいて整理（証憑提出含む）</t>
  </si>
  <si>
    <t xml:space="preserve">「資産除去債務に関するアンケート」回答済みエクセル</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</si>
  <si>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/24_</t>
    </r>
    <r>
      <rPr>
        <sz val="9"/>
        <rFont val="DejaVu Sans"/>
        <family val="2"/>
      </rPr>
      <t xml:space="preserve">資産除去債務</t>
    </r>
  </si>
  <si>
    <t xml:space="preserve">アンケートに記載の必要資料</t>
  </si>
  <si>
    <r>
      <rPr>
        <sz val="9"/>
        <rFont val="DejaVu Sans"/>
        <family val="2"/>
      </rPr>
      <t xml:space="preserve">該当固定資産を保有</t>
    </r>
    <r>
      <rPr>
        <sz val="9"/>
        <rFont val="DejaVu Sans"/>
        <family val="2"/>
        <charset val="1"/>
      </rPr>
      <t xml:space="preserve">(</t>
    </r>
    <r>
      <rPr>
        <sz val="9"/>
        <rFont val="DejaVu Sans"/>
        <family val="2"/>
      </rPr>
      <t xml:space="preserve">質問Ⅰ・Ⅱに該当</t>
    </r>
    <r>
      <rPr>
        <sz val="9"/>
        <rFont val="DejaVu Sans"/>
        <family val="2"/>
        <charset val="1"/>
      </rPr>
      <t xml:space="preserve">)</t>
    </r>
    <r>
      <rPr>
        <sz val="9"/>
        <rFont val="DejaVu Sans"/>
        <family val="2"/>
      </rPr>
      <t xml:space="preserve">する場合</t>
    </r>
  </si>
  <si>
    <t xml:space="preserve">減損テスト</t>
  </si>
  <si>
    <r>
      <rPr>
        <sz val="9"/>
        <rFont val="DejaVu Sans"/>
        <family val="2"/>
      </rPr>
      <t xml:space="preserve">各</t>
    </r>
    <r>
      <rPr>
        <sz val="9"/>
        <rFont val="DejaVu Sans"/>
        <family val="2"/>
        <charset val="1"/>
      </rPr>
      <t xml:space="preserve">CGU</t>
    </r>
    <r>
      <rPr>
        <sz val="9"/>
        <rFont val="DejaVu Sans"/>
        <family val="2"/>
      </rPr>
      <t xml:space="preserve">の減損判定資料</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</si>
  <si>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/25_</t>
    </r>
    <r>
      <rPr>
        <sz val="9"/>
        <rFont val="DejaVu Sans"/>
        <family val="2"/>
      </rPr>
      <t xml:space="preserve">減損判定資料</t>
    </r>
  </si>
  <si>
    <r>
      <rPr>
        <sz val="9"/>
        <rFont val="DejaVu Sans"/>
        <family val="2"/>
      </rPr>
      <t xml:space="preserve">割引前・割引後 将来</t>
    </r>
    <r>
      <rPr>
        <sz val="9"/>
        <rFont val="DejaVu Sans"/>
        <family val="2"/>
        <charset val="1"/>
      </rPr>
      <t xml:space="preserve">CF</t>
    </r>
    <r>
      <rPr>
        <sz val="9"/>
        <rFont val="DejaVu Sans"/>
        <family val="2"/>
      </rPr>
      <t xml:space="preserve">算定資料</t>
    </r>
  </si>
  <si>
    <r>
      <rPr>
        <sz val="9"/>
        <rFont val="DejaVu Sans"/>
        <family val="2"/>
      </rPr>
      <t xml:space="preserve">減損の兆候に抵触した</t>
    </r>
    <r>
      <rPr>
        <sz val="9"/>
        <rFont val="DejaVu Sans"/>
        <family val="2"/>
        <charset val="1"/>
      </rPr>
      <t xml:space="preserve">CGU</t>
    </r>
    <r>
      <rPr>
        <sz val="9"/>
        <rFont val="DejaVu Sans"/>
        <family val="2"/>
      </rPr>
      <t xml:space="preserve">がある場合</t>
    </r>
    <r>
      <rPr>
        <sz val="9"/>
        <rFont val="DejaVu Sans"/>
        <family val="2"/>
        <charset val="1"/>
      </rPr>
      <t xml:space="preserve">(IFRS</t>
    </r>
    <r>
      <rPr>
        <sz val="9"/>
        <rFont val="DejaVu Sans"/>
        <family val="2"/>
      </rPr>
      <t xml:space="preserve">含め検討</t>
    </r>
    <r>
      <rPr>
        <sz val="9"/>
        <rFont val="DejaVu Sans"/>
        <family val="2"/>
        <charset val="1"/>
      </rPr>
      <t xml:space="preserve">)</t>
    </r>
  </si>
  <si>
    <t xml:space="preserve">固定資産領域の内部統制・減損処理アンケート</t>
  </si>
  <si>
    <t xml:space="preserve">フォーム回答</t>
  </si>
  <si>
    <t xml:space="preserve">データソース</t>
  </si>
  <si>
    <r>
      <rPr>
        <sz val="9"/>
        <rFont val="Calibri"/>
        <family val="0"/>
        <charset val="1"/>
      </rPr>
      <t xml:space="preserve">CGU</t>
    </r>
    <r>
      <rPr>
        <sz val="9"/>
        <rFont val="DejaVu Sans"/>
        <family val="2"/>
      </rPr>
      <t xml:space="preserve">営業損益と全社</t>
    </r>
    <r>
      <rPr>
        <sz val="9"/>
        <rFont val="Calibri"/>
        <family val="0"/>
        <charset val="1"/>
      </rPr>
      <t xml:space="preserve">TB</t>
    </r>
    <r>
      <rPr>
        <sz val="9"/>
        <rFont val="DejaVu Sans"/>
        <family val="2"/>
      </rPr>
      <t xml:space="preserve">の一致</t>
    </r>
  </si>
  <si>
    <t xml:space="preserve">賞与引当金の計上確認</t>
  </si>
  <si>
    <t xml:space="preserve">計上根拠資料</t>
  </si>
  <si>
    <t xml:space="preserve">繰入額の計算根拠</t>
  </si>
  <si>
    <t xml:space="preserve">排他</t>
  </si>
  <si>
    <t xml:space="preserve">賞与引当金を計上している場合</t>
  </si>
  <si>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/26_</t>
    </r>
    <r>
      <rPr>
        <sz val="9"/>
        <rFont val="DejaVu Sans"/>
        <family val="2"/>
      </rPr>
      <t xml:space="preserve">賞与引当金</t>
    </r>
  </si>
  <si>
    <t xml:space="preserve">取崩時の支払証跡＋当初計上額と支払額の比較分析</t>
  </si>
  <si>
    <t xml:space="preserve">計上・取崩がある場合</t>
  </si>
  <si>
    <t xml:space="preserve">計上不要とした理由コメント</t>
  </si>
  <si>
    <t xml:space="preserve">賞与引当金を計上していない場合</t>
  </si>
  <si>
    <t xml:space="preserve">月次推移表／繰入額・残高と試算表の一致</t>
  </si>
  <si>
    <t xml:space="preserve">PL</t>
  </si>
  <si>
    <t xml:space="preserve">自主点検チェックリスト</t>
  </si>
  <si>
    <r>
      <rPr>
        <sz val="9"/>
        <rFont val="Calibri"/>
        <family val="0"/>
        <charset val="1"/>
      </rPr>
      <t xml:space="preserve">No.1</t>
    </r>
    <r>
      <rPr>
        <sz val="9"/>
        <rFont val="DejaVu Sans"/>
        <family val="2"/>
      </rPr>
      <t xml:space="preserve">〜</t>
    </r>
    <r>
      <rPr>
        <sz val="9"/>
        <rFont val="Calibri"/>
        <family val="0"/>
        <charset val="1"/>
      </rPr>
      <t xml:space="preserve">26</t>
    </r>
    <r>
      <rPr>
        <sz val="9"/>
        <rFont val="DejaVu Sans"/>
        <family val="2"/>
      </rPr>
      <t xml:space="preserve">の自己評価</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</si>
  <si>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/27_</t>
    </r>
    <r>
      <rPr>
        <sz val="9"/>
        <rFont val="DejaVu Sans"/>
        <family val="2"/>
      </rPr>
      <t xml:space="preserve">自主点検チェックリスト</t>
    </r>
  </si>
  <si>
    <t xml:space="preserve">財務分析</t>
  </si>
  <si>
    <r>
      <rPr>
        <sz val="9"/>
        <rFont val="DejaVu Sans"/>
        <family val="2"/>
      </rPr>
      <t xml:space="preserve">連結</t>
    </r>
    <r>
      <rPr>
        <sz val="9"/>
        <rFont val="DejaVu Sans"/>
        <family val="2"/>
        <charset val="1"/>
      </rPr>
      <t xml:space="preserve">PKG</t>
    </r>
    <r>
      <rPr>
        <sz val="9"/>
        <rFont val="DejaVu Sans"/>
        <family val="2"/>
      </rPr>
      <t xml:space="preserve">上の増減分析</t>
    </r>
  </si>
  <si>
    <r>
      <rPr>
        <sz val="9"/>
        <rFont val="Calibri"/>
        <family val="0"/>
        <charset val="1"/>
      </rPr>
      <t xml:space="preserve">01_</t>
    </r>
    <r>
      <rPr>
        <sz val="9"/>
        <rFont val="DejaVu Sans"/>
        <family val="2"/>
      </rPr>
      <t xml:space="preserve">監査対応</t>
    </r>
    <r>
      <rPr>
        <sz val="9"/>
        <rFont val="Calibri"/>
        <family val="0"/>
        <charset val="1"/>
      </rPr>
      <t xml:space="preserve">/[</t>
    </r>
    <r>
      <rPr>
        <sz val="9"/>
        <rFont val="DejaVu Sans"/>
        <family val="2"/>
      </rPr>
      <t xml:space="preserve">会社名</t>
    </r>
    <r>
      <rPr>
        <sz val="9"/>
        <rFont val="Calibri"/>
        <family val="0"/>
        <charset val="1"/>
      </rPr>
      <t xml:space="preserve">]/05_</t>
    </r>
    <r>
      <rPr>
        <sz val="9"/>
        <rFont val="DejaVu Sans"/>
        <family val="2"/>
      </rPr>
      <t xml:space="preserve">自主点検成果物</t>
    </r>
    <r>
      <rPr>
        <sz val="9"/>
        <rFont val="Calibri"/>
        <family val="0"/>
        <charset val="1"/>
      </rPr>
      <t xml:space="preserve">/28_</t>
    </r>
    <r>
      <rPr>
        <sz val="9"/>
        <rFont val="DejaVu Sans"/>
        <family val="2"/>
      </rPr>
      <t xml:space="preserve">財務分析</t>
    </r>
  </si>
  <si>
    <t xml:space="preserve">個社別の財務分析用ファイル</t>
  </si>
  <si>
    <t xml:space="preserve">個社別財務分析の対象会社</t>
  </si>
  <si>
    <t xml:space="preserve">自主点検  チェックポイント確認リスト（構成単位版）</t>
  </si>
  <si>
    <t xml:space="preserve">CP_ID</t>
  </si>
  <si>
    <t xml:space="preserve">チェックポイント内容</t>
  </si>
  <si>
    <t xml:space="preserve">☑確認</t>
  </si>
  <si>
    <t xml:space="preserve">非該当・未確認の理由</t>
  </si>
  <si>
    <t xml:space="preserve">過去の差し戻し注意
（頻出パターン）</t>
  </si>
  <si>
    <t xml:space="preserve">01-001</t>
  </si>
  <si>
    <t xml:space="preserve">データソースと抽出条件（手順）の記録が成果物として提出されている</t>
  </si>
  <si>
    <r>
      <rPr>
        <sz val="9"/>
        <rFont val="DejaVu Sans"/>
        <family val="2"/>
      </rPr>
      <t xml:space="preserve">統合マスタ </t>
    </r>
    <r>
      <rPr>
        <sz val="9"/>
        <rFont val="DejaVu Sans"/>
        <family val="2"/>
        <charset val="1"/>
      </rPr>
      <t xml:space="preserve">v1</t>
    </r>
    <r>
      <rPr>
        <sz val="9"/>
        <rFont val="DejaVu Sans"/>
        <family val="2"/>
      </rPr>
      <t xml:space="preserve">（内製作成 </t>
    </r>
    <r>
      <rPr>
        <sz val="9"/>
        <rFont val="DejaVu Sans"/>
        <family val="2"/>
        <charset val="1"/>
      </rPr>
      <t xml:space="preserve">2026.6</t>
    </r>
    <r>
      <rPr>
        <sz val="9"/>
        <rFont val="DejaVu Sans"/>
        <family val="2"/>
      </rPr>
      <t xml:space="preserve">）</t>
    </r>
  </si>
  <si>
    <t xml:space="preserve">01-002</t>
  </si>
  <si>
    <r>
      <rPr>
        <sz val="9"/>
        <rFont val="DejaVu Sans"/>
        <family val="2"/>
      </rPr>
      <t xml:space="preserve">網羅性が確認できる情報が記載又は提出されている（売掛金残高明細と試算表</t>
    </r>
    <r>
      <rPr>
        <sz val="9"/>
        <rFont val="DejaVu Sans"/>
        <family val="2"/>
        <charset val="1"/>
      </rPr>
      <t xml:space="preserve">BS</t>
    </r>
    <r>
      <rPr>
        <sz val="9"/>
        <rFont val="DejaVu Sans"/>
        <family val="2"/>
      </rPr>
      <t xml:space="preserve">の一致が確認できる）</t>
    </r>
  </si>
  <si>
    <t xml:space="preserve">01-003</t>
  </si>
  <si>
    <t xml:space="preserve">残高確認状の発送先一覧と回収結果が提出されている（確認状未発送先・未回収先の区分が明確になっている）</t>
  </si>
  <si>
    <t xml:space="preserve">01-004</t>
  </si>
  <si>
    <t xml:space="preserve">確認状を回収できなかった相手先について代替手続（入金消込チェックリスト・追加サンプリング等）の実施結果が提出されている</t>
  </si>
  <si>
    <t xml:space="preserve">01-005</t>
  </si>
  <si>
    <t xml:space="preserve">担当者の確認結果に対し上席者（部門責任者等）のレビュー証跡がある</t>
  </si>
  <si>
    <t xml:space="preserve">01-006</t>
  </si>
  <si>
    <t xml:space="preserve">差異調整の内容が合理的であり、未入金残高の回収見込みが具体的に説明されている</t>
  </si>
  <si>
    <t xml:space="preserve">01-007</t>
  </si>
  <si>
    <t xml:space="preserve">代替手続に使用した証憑（注文書・請求書・入金確認等）が適切な外部証憑である（内部帳票のみでの確認は不可）</t>
  </si>
  <si>
    <t xml:space="preserve">02-001</t>
  </si>
  <si>
    <t xml:space="preserve">02-002</t>
  </si>
  <si>
    <t xml:space="preserve">網羅性が確認できる情報が記載又は提出されている（棚卸残高と試算表の一致が確認できる）</t>
  </si>
  <si>
    <t xml:space="preserve">02-003</t>
  </si>
  <si>
    <t xml:space="preserve">棚卸実施記録（実施日・実施者・対象品目・数量・差異）が提出されている</t>
  </si>
  <si>
    <t xml:space="preserve">02-004</t>
  </si>
  <si>
    <t xml:space="preserve">棚卸差異（帳簿残高との差異）の調整内容と理由が記録されている</t>
  </si>
  <si>
    <t xml:space="preserve">02-005</t>
  </si>
  <si>
    <t xml:space="preserve">在庫評価損の計上要否を検討した記録がある（低価法適用対象の確認含む）</t>
  </si>
  <si>
    <t xml:space="preserve">02-006</t>
  </si>
  <si>
    <t xml:space="preserve">未出荷取引による売上（預り売上）を計上していないこと、または計上している場合は親会社に提出し会計監査人と協議済みであることを確認している</t>
  </si>
  <si>
    <t xml:space="preserve">03-001</t>
  </si>
  <si>
    <t xml:space="preserve">03-002</t>
  </si>
  <si>
    <t xml:space="preserve">固定資産台帳残高と試算表残高の一致が確認できる資料が提出されている</t>
  </si>
  <si>
    <t xml:space="preserve">03-003</t>
  </si>
  <si>
    <r>
      <rPr>
        <sz val="9"/>
        <rFont val="DejaVu Sans"/>
        <family val="2"/>
      </rPr>
      <t xml:space="preserve">現物確認時の証跡（写真またはロケーション確認記録）が提出されている（写真ファイル名＝資産番号</t>
    </r>
    <r>
      <rPr>
        <sz val="9"/>
        <rFont val="DejaVu Sans"/>
        <family val="2"/>
        <charset val="1"/>
      </rPr>
      <t xml:space="preserve">10</t>
    </r>
    <r>
      <rPr>
        <sz val="9"/>
        <rFont val="DejaVu Sans"/>
        <family val="2"/>
      </rPr>
      <t xml:space="preserve">桁＋枝番</t>
    </r>
    <r>
      <rPr>
        <sz val="9"/>
        <rFont val="DejaVu Sans"/>
        <family val="2"/>
        <charset val="1"/>
      </rPr>
      <t xml:space="preserve">3</t>
    </r>
    <r>
      <rPr>
        <sz val="9"/>
        <rFont val="DejaVu Sans"/>
        <family val="2"/>
      </rPr>
      <t xml:space="preserve">桁ゼロ埋め）</t>
    </r>
  </si>
  <si>
    <t xml:space="preserve">03-004</t>
  </si>
  <si>
    <t xml:space="preserve">実査で不存在・遊休・費用化対象となった資産の内容が実査報告書に記載されている（訂正事項なしの場合もその旨を記載）</t>
  </si>
  <si>
    <t xml:space="preserve">03-005</t>
  </si>
  <si>
    <t xml:space="preserve">現物確認が困難な資産（建物・土地・リース等）について代替手続（登記簿・リース契約書等）の記録がある</t>
  </si>
  <si>
    <t xml:space="preserve">03-006</t>
  </si>
  <si>
    <t xml:space="preserve">代替手続の証跡が適切な外部資料である（登記簿謄本・固定資産税課税明細・リース契約書等）</t>
  </si>
  <si>
    <t xml:space="preserve">03-007</t>
  </si>
  <si>
    <t xml:space="preserve">実査結果に基づく訂正仕訳の会計処理が適切に行われている（費用化・除却損等の処理が証憑と整合）</t>
  </si>
  <si>
    <t xml:space="preserve">03-008</t>
  </si>
  <si>
    <r>
      <rPr>
        <sz val="9"/>
        <rFont val="DejaVu Sans"/>
        <family val="2"/>
      </rPr>
      <t xml:space="preserve">第</t>
    </r>
    <r>
      <rPr>
        <sz val="9"/>
        <rFont val="DejaVu Sans"/>
        <family val="2"/>
        <charset val="1"/>
      </rPr>
      <t xml:space="preserve">2</t>
    </r>
    <r>
      <rPr>
        <sz val="9"/>
        <rFont val="DejaVu Sans"/>
        <family val="2"/>
      </rPr>
      <t xml:space="preserve">線立会対象拠点（有形固定資産期末残高</t>
    </r>
    <r>
      <rPr>
        <sz val="9"/>
        <rFont val="DejaVu Sans"/>
        <family val="2"/>
        <charset val="1"/>
      </rPr>
      <t xml:space="preserve">1</t>
    </r>
    <r>
      <rPr>
        <sz val="9"/>
        <rFont val="DejaVu Sans"/>
        <family val="2"/>
      </rPr>
      <t xml:space="preserve">億円以上の拠点）では管理部門担当者の立会証跡が残っている</t>
    </r>
  </si>
  <si>
    <t xml:space="preserve">04-001</t>
  </si>
  <si>
    <r>
      <rPr>
        <sz val="9"/>
        <rFont val="DejaVu Sans"/>
        <family val="2"/>
      </rPr>
      <t xml:space="preserve">計</t>
    </r>
    <r>
      <rPr>
        <sz val="9"/>
        <rFont val="DejaVu Sans"/>
        <family val="2"/>
        <charset val="1"/>
      </rPr>
      <t xml:space="preserve">199</t>
    </r>
    <r>
      <rPr>
        <sz val="9"/>
        <rFont val="DejaVu Sans"/>
        <family val="2"/>
      </rPr>
      <t xml:space="preserve">件指摘  ▶網羅性・試算表不一致</t>
    </r>
    <r>
      <rPr>
        <sz val="9"/>
        <rFont val="DejaVu Sans"/>
        <family val="2"/>
        <charset val="1"/>
      </rPr>
      <t xml:space="preserve">(100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「・網羅性が確認できる資料（試算表との一致確認）の送付をお願いします…」  ▶根拠資料不足</t>
    </r>
    <r>
      <rPr>
        <sz val="9"/>
        <rFont val="DejaVu Sans"/>
        <family val="2"/>
        <charset val="1"/>
      </rPr>
      <t xml:space="preserve">(45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「・自己点検説明資料に記載の金額と試算表の一致がわかる資料の送付をお願いします…」  【構成単位固有】計</t>
    </r>
    <r>
      <rPr>
        <sz val="9"/>
        <rFont val="DejaVu Sans"/>
        <family val="2"/>
        <charset val="1"/>
      </rPr>
      <t xml:space="preserve">90</t>
    </r>
    <r>
      <rPr>
        <sz val="9"/>
        <rFont val="DejaVu Sans"/>
        <family val="2"/>
      </rPr>
      <t xml:space="preserve">件  ▶網羅性・試算表不一致</t>
    </r>
    <r>
      <rPr>
        <sz val="9"/>
        <rFont val="DejaVu Sans"/>
        <family val="2"/>
        <charset val="1"/>
      </rPr>
      <t xml:space="preserve">(64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  ▶その他</t>
    </r>
    <r>
      <rPr>
        <sz val="9"/>
        <rFont val="DejaVu Sans"/>
        <family val="2"/>
        <charset val="1"/>
      </rPr>
      <t xml:space="preserve">(14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▶根拠資料不足</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No255</t>
    </r>
    <r>
      <rPr>
        <sz val="9"/>
        <rFont val="DejaVu Sans"/>
        <family val="2"/>
      </rPr>
      <t xml:space="preserve">（カインズホーム</t>
    </r>
    <r>
      <rPr>
        <sz val="9"/>
        <rFont val="DejaVu Sans"/>
        <family val="2"/>
        <charset val="1"/>
      </rPr>
      <t xml:space="preserve">FC</t>
    </r>
    <r>
      <rPr>
        <sz val="9"/>
        <rFont val="DejaVu Sans"/>
        <family val="2"/>
      </rPr>
      <t xml:space="preserve">大曲店）の取引発生日が</t>
    </r>
    <r>
      <rPr>
        <sz val="9"/>
        <rFont val="DejaVu Sans"/>
        <family val="2"/>
        <charset val="1"/>
      </rPr>
      <t xml:space="preserve">2024/10/29</t>
    </r>
    <r>
      <rPr>
        <sz val="9"/>
        <rFont val="DejaVu Sans"/>
        <family val="2"/>
      </rPr>
      <t xml:space="preserve">のため、売上計上の妥当性について、補足説明と根…」  ▶コメント・説明不足</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「成果物である「</t>
    </r>
    <r>
      <rPr>
        <sz val="9"/>
        <rFont val="DejaVu Sans"/>
        <family val="2"/>
        <charset val="1"/>
      </rPr>
      <t xml:space="preserve">04_</t>
    </r>
    <r>
      <rPr>
        <sz val="9"/>
        <rFont val="DejaVu Sans"/>
        <family val="2"/>
      </rPr>
      <t xml:space="preserve">滞留債権</t>
    </r>
    <r>
      <rPr>
        <sz val="9"/>
        <rFont val="DejaVu Sans"/>
        <family val="2"/>
        <charset val="1"/>
      </rPr>
      <t xml:space="preserve">_(</t>
    </r>
    <r>
      <rPr>
        <sz val="9"/>
        <rFont val="DejaVu Sans"/>
        <family val="2"/>
      </rPr>
      <t xml:space="preserve">札幌デンタル</t>
    </r>
    <r>
      <rPr>
        <sz val="9"/>
        <rFont val="DejaVu Sans"/>
        <family val="2"/>
        <charset val="1"/>
      </rPr>
      <t xml:space="preserve">).xlsx</t>
    </r>
    <r>
      <rPr>
        <sz val="9"/>
        <rFont val="DejaVu Sans"/>
        <family val="2"/>
      </rPr>
      <t xml:space="preserve">」に記載された</t>
    </r>
    <r>
      <rPr>
        <sz val="9"/>
        <rFont val="DejaVu Sans"/>
        <family val="2"/>
        <charset val="1"/>
      </rPr>
      <t xml:space="preserve">2</t>
    </r>
    <r>
      <rPr>
        <sz val="9"/>
        <rFont val="DejaVu Sans"/>
        <family val="2"/>
      </rPr>
      <t xml:space="preserve">先の抽出過程が分かる資料をご提示頂けますでしょう…」</t>
    </r>
  </si>
  <si>
    <r>
      <rPr>
        <sz val="9"/>
        <rFont val="DejaVu Sans"/>
        <family val="2"/>
      </rPr>
      <t xml:space="preserve">レビュー指針 </t>
    </r>
    <r>
      <rPr>
        <sz val="9"/>
        <rFont val="DejaVu Sans"/>
        <family val="2"/>
        <charset val="1"/>
      </rPr>
      <t xml:space="preserve">No.4</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</si>
  <si>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04-002</t>
  </si>
  <si>
    <t xml:space="preserve">網羅性が確認できる情報が記載又は提出されている（試算表との一致が確認できる）</t>
  </si>
  <si>
    <r>
      <rPr>
        <sz val="9"/>
        <rFont val="DejaVu Sans"/>
        <family val="2"/>
      </rPr>
      <t xml:space="preserve">計</t>
    </r>
    <r>
      <rPr>
        <sz val="9"/>
        <rFont val="DejaVu Sans"/>
        <family val="2"/>
        <charset val="1"/>
      </rPr>
      <t xml:space="preserve">199</t>
    </r>
    <r>
      <rPr>
        <sz val="9"/>
        <rFont val="DejaVu Sans"/>
        <family val="2"/>
      </rPr>
      <t xml:space="preserve">件指摘  ▶網羅性・試算表不一致</t>
    </r>
    <r>
      <rPr>
        <sz val="9"/>
        <rFont val="DejaVu Sans"/>
        <family val="2"/>
        <charset val="1"/>
      </rPr>
      <t xml:space="preserve">(100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「・網羅性が確認できる資料（試算表との一致確認）の送付をお願いします…」  ▶根拠資料不足</t>
    </r>
    <r>
      <rPr>
        <sz val="9"/>
        <rFont val="DejaVu Sans"/>
        <family val="2"/>
        <charset val="1"/>
      </rPr>
      <t xml:space="preserve">(45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「・自己点検説明資料に記載の金額と試算表の一致がわかる資料の送付をお願いします…」</t>
    </r>
  </si>
  <si>
    <t xml:space="preserve">04-003</t>
  </si>
  <si>
    <t xml:space="preserve">回収が遅延している債権全てにつき、回収遅延理由が記載されている</t>
  </si>
  <si>
    <t xml:space="preserve">04-004</t>
  </si>
  <si>
    <t xml:space="preserve">回収遅延理由について、部門責任者等の適切な承認者の承認を得ている</t>
  </si>
  <si>
    <t xml:space="preserve">04-005</t>
  </si>
  <si>
    <t xml:space="preserve">回収遅延理由が合理的である</t>
  </si>
  <si>
    <t xml:space="preserve">04-006</t>
  </si>
  <si>
    <t xml:space="preserve">回収遅延理由が合理的でない場合、売上計上の妥当性に関するコメントが記載されている</t>
  </si>
  <si>
    <t xml:space="preserve">04-007</t>
  </si>
  <si>
    <t xml:space="preserve">注文書などの外部証憑を確認したうえで、適切に売上計上の妥当性をコメントできている</t>
  </si>
  <si>
    <t xml:space="preserve">05-001</t>
  </si>
  <si>
    <r>
      <rPr>
        <sz val="9"/>
        <rFont val="DejaVu Sans"/>
        <family val="2"/>
      </rPr>
      <t xml:space="preserve">計</t>
    </r>
    <r>
      <rPr>
        <sz val="9"/>
        <rFont val="DejaVu Sans"/>
        <family val="2"/>
        <charset val="1"/>
      </rPr>
      <t xml:space="preserve">350</t>
    </r>
    <r>
      <rPr>
        <sz val="9"/>
        <rFont val="DejaVu Sans"/>
        <family val="2"/>
      </rPr>
      <t xml:space="preserve">件指摘  ▶網羅性・試算表不一致</t>
    </r>
    <r>
      <rPr>
        <sz val="9"/>
        <rFont val="DejaVu Sans"/>
        <family val="2"/>
        <charset val="1"/>
      </rPr>
      <t xml:space="preserve">(182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「・網羅性及び売上伝票</t>
    </r>
    <r>
      <rPr>
        <sz val="9"/>
        <rFont val="DejaVu Sans"/>
        <family val="2"/>
        <charset val="1"/>
      </rPr>
      <t xml:space="preserve">/</t>
    </r>
    <r>
      <rPr>
        <sz val="9"/>
        <rFont val="DejaVu Sans"/>
        <family val="2"/>
      </rPr>
      <t xml:space="preserve">明細と試算表の整合性を確認するため、</t>
    </r>
    <r>
      <rPr>
        <sz val="9"/>
        <rFont val="DejaVu Sans"/>
        <family val="2"/>
        <charset val="1"/>
      </rPr>
      <t xml:space="preserve">25</t>
    </r>
    <r>
      <rPr>
        <sz val="9"/>
        <rFont val="DejaVu Sans"/>
        <family val="2"/>
      </rPr>
      <t xml:space="preserve">年</t>
    </r>
    <r>
      <rPr>
        <sz val="9"/>
        <rFont val="DejaVu Sans"/>
        <family val="2"/>
        <charset val="1"/>
      </rPr>
      <t xml:space="preserve">4</t>
    </r>
    <r>
      <rPr>
        <sz val="9"/>
        <rFont val="DejaVu Sans"/>
        <family val="2"/>
      </rPr>
      <t xml:space="preserve">月</t>
    </r>
    <r>
      <rPr>
        <sz val="9"/>
        <rFont val="DejaVu Sans"/>
        <family val="2"/>
        <charset val="1"/>
      </rPr>
      <t xml:space="preserve">~26</t>
    </r>
    <r>
      <rPr>
        <sz val="9"/>
        <rFont val="DejaVu Sans"/>
        <family val="2"/>
      </rPr>
      <t xml:space="preserve">年</t>
    </r>
    <r>
      <rPr>
        <sz val="9"/>
        <rFont val="DejaVu Sans"/>
        <family val="2"/>
        <charset val="1"/>
      </rPr>
      <t xml:space="preserve">3</t>
    </r>
    <r>
      <rPr>
        <sz val="9"/>
        <rFont val="DejaVu Sans"/>
        <family val="2"/>
      </rPr>
      <t xml:space="preserve">月の全ての売上明細（マイナス含む）の提出をお願い出来ますでしょうか ・マイナスの売…」  ▶根拠資料不足</t>
    </r>
    <r>
      <rPr>
        <sz val="9"/>
        <rFont val="DejaVu Sans"/>
        <family val="2"/>
        <charset val="1"/>
      </rPr>
      <t xml:space="preserve">(97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「下記、売上マイナス仕訳の根拠証憑のご提示をお願いいたします。 ・計上日：</t>
    </r>
    <r>
      <rPr>
        <sz val="9"/>
        <rFont val="DejaVu Sans"/>
        <family val="2"/>
        <charset val="1"/>
      </rPr>
      <t xml:space="preserve">20260331 </t>
    </r>
    <r>
      <rPr>
        <sz val="9"/>
        <rFont val="DejaVu Sans"/>
        <family val="2"/>
      </rPr>
      <t xml:space="preserve">仕訳検索テキスト：</t>
    </r>
    <r>
      <rPr>
        <sz val="9"/>
        <rFont val="DejaVu Sans"/>
        <family val="2"/>
        <charset val="1"/>
      </rPr>
      <t xml:space="preserve">022502903161</t>
    </r>
    <r>
      <rPr>
        <sz val="9"/>
        <rFont val="DejaVu Sans"/>
        <family val="2"/>
      </rPr>
      <t xml:space="preserve">　売上額：△</t>
    </r>
    <r>
      <rPr>
        <sz val="9"/>
        <rFont val="DejaVu Sans"/>
        <family val="2"/>
        <charset val="1"/>
      </rPr>
      <t xml:space="preserve">26,759,0…</t>
    </r>
    <r>
      <rPr>
        <sz val="9"/>
        <rFont val="DejaVu Sans"/>
        <family val="2"/>
      </rPr>
      <t xml:space="preserve">」  【構成単位固有】計</t>
    </r>
    <r>
      <rPr>
        <sz val="9"/>
        <rFont val="DejaVu Sans"/>
        <family val="2"/>
        <charset val="1"/>
      </rPr>
      <t xml:space="preserve">123</t>
    </r>
    <r>
      <rPr>
        <sz val="9"/>
        <rFont val="DejaVu Sans"/>
        <family val="2"/>
      </rPr>
      <t xml:space="preserve">件  ▶網羅性・試算表不一致</t>
    </r>
    <r>
      <rPr>
        <sz val="9"/>
        <rFont val="DejaVu Sans"/>
        <family val="2"/>
        <charset val="1"/>
      </rPr>
      <t xml:space="preserve">(100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「・データソース及び抽出条件が分かる資料（抽出する際の条件を記載した画面スクショなど）の提出をお願い出来ますでしょうか。 …」  ▶コメント・説明不足</t>
    </r>
    <r>
      <rPr>
        <sz val="9"/>
        <rFont val="DejaVu Sans"/>
        <family val="2"/>
        <charset val="1"/>
      </rPr>
      <t xml:space="preserve">(12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「・データソース及び抽出条件が分かる資料（抽出する際の条件を記載した画面スクショなど）の提出をお願い出来ますでしょうか。 …」  ▶根拠資料不足</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「証跡フォルダにてご提示いただいております”コンポーネンツ機器部関係 証跡 </t>
    </r>
    <r>
      <rPr>
        <sz val="9"/>
        <rFont val="DejaVu Sans"/>
        <family val="2"/>
        <charset val="1"/>
      </rPr>
      <t xml:space="preserve">260427</t>
    </r>
    <r>
      <rPr>
        <sz val="9"/>
        <rFont val="DejaVu Sans"/>
        <family val="2"/>
      </rPr>
      <t xml:space="preserve">小澤</t>
    </r>
    <r>
      <rPr>
        <sz val="9"/>
        <rFont val="DejaVu Sans"/>
        <family val="2"/>
        <charset val="1"/>
      </rPr>
      <t xml:space="preserve">_1”Excel</t>
    </r>
    <r>
      <rPr>
        <sz val="9"/>
        <rFont val="DejaVu Sans"/>
        <family val="2"/>
      </rPr>
      <t xml:space="preserve">に関しまして、…」  ▶その他</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4</t>
    </r>
    <r>
      <rPr>
        <sz val="9"/>
        <rFont val="DejaVu Sans"/>
        <family val="2"/>
      </rPr>
      <t xml:space="preserve">月～</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月までは確認済みであり、問題ありませんでした。 お聞きになっておられるかと思いますが、</t>
    </r>
    <r>
      <rPr>
        <sz val="9"/>
        <rFont val="DejaVu Sans"/>
        <family val="2"/>
        <charset val="1"/>
      </rPr>
      <t xml:space="preserve">202…</t>
    </r>
    <r>
      <rPr>
        <sz val="9"/>
        <rFont val="DejaVu Sans"/>
        <family val="2"/>
      </rPr>
      <t xml:space="preserve">」</t>
    </r>
  </si>
  <si>
    <r>
      <rPr>
        <sz val="9"/>
        <rFont val="DejaVu Sans"/>
        <family val="2"/>
      </rPr>
      <t xml:space="preserve">レビュー指針 </t>
    </r>
    <r>
      <rPr>
        <sz val="9"/>
        <rFont val="DejaVu Sans"/>
        <family val="2"/>
        <charset val="1"/>
      </rPr>
      <t xml:space="preserve">No.5</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</si>
  <si>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05-002</t>
  </si>
  <si>
    <r>
      <rPr>
        <sz val="9"/>
        <rFont val="Calibri"/>
        <family val="0"/>
        <charset val="1"/>
      </rPr>
      <t xml:space="preserve">25</t>
    </r>
    <r>
      <rPr>
        <sz val="9"/>
        <rFont val="DejaVu Sans"/>
        <family val="2"/>
      </rPr>
      <t xml:space="preserve">年</t>
    </r>
    <r>
      <rPr>
        <sz val="9"/>
        <rFont val="Calibri"/>
        <family val="0"/>
        <charset val="1"/>
      </rPr>
      <t xml:space="preserve">4</t>
    </r>
    <r>
      <rPr>
        <sz val="9"/>
        <rFont val="DejaVu Sans"/>
        <family val="2"/>
      </rPr>
      <t xml:space="preserve">月</t>
    </r>
    <r>
      <rPr>
        <sz val="9"/>
        <rFont val="Calibri"/>
        <family val="0"/>
        <charset val="1"/>
      </rPr>
      <t xml:space="preserve">~26</t>
    </r>
    <r>
      <rPr>
        <sz val="9"/>
        <rFont val="DejaVu Sans"/>
        <family val="2"/>
      </rPr>
      <t xml:space="preserve">年</t>
    </r>
    <r>
      <rPr>
        <sz val="9"/>
        <rFont val="Calibri"/>
        <family val="0"/>
        <charset val="1"/>
      </rPr>
      <t xml:space="preserve">3</t>
    </r>
    <r>
      <rPr>
        <sz val="9"/>
        <rFont val="DejaVu Sans"/>
        <family val="2"/>
      </rPr>
      <t xml:space="preserve">月の全ての売上明細（マイナス含む）が提出されている（試算表との一致が確認できる）</t>
    </r>
  </si>
  <si>
    <r>
      <rPr>
        <sz val="9"/>
        <rFont val="DejaVu Sans"/>
        <family val="2"/>
      </rPr>
      <t xml:space="preserve">計</t>
    </r>
    <r>
      <rPr>
        <sz val="9"/>
        <rFont val="DejaVu Sans"/>
        <family val="2"/>
        <charset val="1"/>
      </rPr>
      <t xml:space="preserve">350</t>
    </r>
    <r>
      <rPr>
        <sz val="9"/>
        <rFont val="DejaVu Sans"/>
        <family val="2"/>
      </rPr>
      <t xml:space="preserve">件指摘  ▶網羅性・試算表不一致</t>
    </r>
    <r>
      <rPr>
        <sz val="9"/>
        <rFont val="DejaVu Sans"/>
        <family val="2"/>
        <charset val="1"/>
      </rPr>
      <t xml:space="preserve">(182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「・網羅性及び売上伝票</t>
    </r>
    <r>
      <rPr>
        <sz val="9"/>
        <rFont val="DejaVu Sans"/>
        <family val="2"/>
        <charset val="1"/>
      </rPr>
      <t xml:space="preserve">/</t>
    </r>
    <r>
      <rPr>
        <sz val="9"/>
        <rFont val="DejaVu Sans"/>
        <family val="2"/>
      </rPr>
      <t xml:space="preserve">明細と試算表の整合性を確認するため、</t>
    </r>
    <r>
      <rPr>
        <sz val="9"/>
        <rFont val="DejaVu Sans"/>
        <family val="2"/>
        <charset val="1"/>
      </rPr>
      <t xml:space="preserve">25</t>
    </r>
    <r>
      <rPr>
        <sz val="9"/>
        <rFont val="DejaVu Sans"/>
        <family val="2"/>
      </rPr>
      <t xml:space="preserve">年</t>
    </r>
    <r>
      <rPr>
        <sz val="9"/>
        <rFont val="DejaVu Sans"/>
        <family val="2"/>
        <charset val="1"/>
      </rPr>
      <t xml:space="preserve">4</t>
    </r>
    <r>
      <rPr>
        <sz val="9"/>
        <rFont val="DejaVu Sans"/>
        <family val="2"/>
      </rPr>
      <t xml:space="preserve">月</t>
    </r>
    <r>
      <rPr>
        <sz val="9"/>
        <rFont val="DejaVu Sans"/>
        <family val="2"/>
        <charset val="1"/>
      </rPr>
      <t xml:space="preserve">~26</t>
    </r>
    <r>
      <rPr>
        <sz val="9"/>
        <rFont val="DejaVu Sans"/>
        <family val="2"/>
      </rPr>
      <t xml:space="preserve">年</t>
    </r>
    <r>
      <rPr>
        <sz val="9"/>
        <rFont val="DejaVu Sans"/>
        <family val="2"/>
        <charset val="1"/>
      </rPr>
      <t xml:space="preserve">3</t>
    </r>
    <r>
      <rPr>
        <sz val="9"/>
        <rFont val="DejaVu Sans"/>
        <family val="2"/>
      </rPr>
      <t xml:space="preserve">月の全ての売上明細（マイナス含む）の提出をお願い出来ますでしょうか ・マイナスの売…」  ▶根拠資料不足</t>
    </r>
    <r>
      <rPr>
        <sz val="9"/>
        <rFont val="DejaVu Sans"/>
        <family val="2"/>
        <charset val="1"/>
      </rPr>
      <t xml:space="preserve">(97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「下記、売上マイナス仕訳の根拠証憑のご提示をお願いいたします。 ・計上日：</t>
    </r>
    <r>
      <rPr>
        <sz val="9"/>
        <rFont val="DejaVu Sans"/>
        <family val="2"/>
        <charset val="1"/>
      </rPr>
      <t xml:space="preserve">20260331 </t>
    </r>
    <r>
      <rPr>
        <sz val="9"/>
        <rFont val="DejaVu Sans"/>
        <family val="2"/>
      </rPr>
      <t xml:space="preserve">仕訳検索テキスト：</t>
    </r>
    <r>
      <rPr>
        <sz val="9"/>
        <rFont val="DejaVu Sans"/>
        <family val="2"/>
        <charset val="1"/>
      </rPr>
      <t xml:space="preserve">022502903161</t>
    </r>
    <r>
      <rPr>
        <sz val="9"/>
        <rFont val="DejaVu Sans"/>
        <family val="2"/>
      </rPr>
      <t xml:space="preserve">　売上額：△</t>
    </r>
    <r>
      <rPr>
        <sz val="9"/>
        <rFont val="DejaVu Sans"/>
        <family val="2"/>
        <charset val="1"/>
      </rPr>
      <t xml:space="preserve">26,759,0…</t>
    </r>
    <r>
      <rPr>
        <sz val="9"/>
        <rFont val="DejaVu Sans"/>
        <family val="2"/>
      </rPr>
      <t xml:space="preserve">」</t>
    </r>
  </si>
  <si>
    <t xml:space="preserve">05-003</t>
  </si>
  <si>
    <t xml:space="preserve">マイナスの売上がある場合、売上計上の妥当性（収益認識基準を満たしているか）を検討したコメントが残されている</t>
  </si>
  <si>
    <t xml:space="preserve">05-004</t>
  </si>
  <si>
    <t xml:space="preserve">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</si>
  <si>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r>
      <rPr>
        <sz val="9"/>
        <rFont val="DejaVu Sans"/>
        <family val="2"/>
      </rPr>
      <t xml:space="preserve">【構成単位】</t>
    </r>
    <r>
      <rPr>
        <sz val="9"/>
        <rFont val="DejaVu Sans"/>
        <family val="2"/>
        <charset val="1"/>
      </rPr>
      <t xml:space="preserve">2</t>
    </r>
    <r>
      <rPr>
        <sz val="9"/>
        <rFont val="DejaVu Sans"/>
        <family val="2"/>
      </rPr>
      <t xml:space="preserve">次レビュー対象閾値：金額</t>
    </r>
    <r>
      <rPr>
        <sz val="9"/>
        <rFont val="DejaVu Sans"/>
        <family val="2"/>
        <charset val="1"/>
      </rPr>
      <t xml:space="preserve">2,000</t>
    </r>
    <r>
      <rPr>
        <sz val="9"/>
        <rFont val="DejaVu Sans"/>
        <family val="2"/>
      </rPr>
      <t xml:space="preserve">万円以上・最低</t>
    </r>
    <r>
      <rPr>
        <sz val="9"/>
        <rFont val="DejaVu Sans"/>
        <family val="2"/>
        <charset val="1"/>
      </rPr>
      <t xml:space="preserve">5</t>
    </r>
    <r>
      <rPr>
        <sz val="9"/>
        <rFont val="DejaVu Sans"/>
        <family val="2"/>
      </rPr>
      <t xml:space="preserve">件（非構成単位は</t>
    </r>
    <r>
      <rPr>
        <sz val="9"/>
        <rFont val="DejaVu Sans"/>
        <family val="2"/>
        <charset val="1"/>
      </rPr>
      <t xml:space="preserve">3</t>
    </r>
    <r>
      <rPr>
        <sz val="9"/>
        <rFont val="DejaVu Sans"/>
        <family val="2"/>
      </rPr>
      <t xml:space="preserve">件）</t>
    </r>
  </si>
  <si>
    <t xml:space="preserve">05-005</t>
  </si>
  <si>
    <t xml:space="preserve">収益認識基準を満たさない売上計上の場合は、会計処理の顛末が記載されている</t>
  </si>
  <si>
    <t xml:space="preserve">06-001</t>
  </si>
  <si>
    <r>
      <rPr>
        <sz val="9"/>
        <rFont val="DejaVu Sans"/>
        <family val="2"/>
      </rPr>
      <t xml:space="preserve">計</t>
    </r>
    <r>
      <rPr>
        <sz val="9"/>
        <rFont val="DejaVu Sans"/>
        <family val="2"/>
        <charset val="1"/>
      </rPr>
      <t xml:space="preserve">199</t>
    </r>
    <r>
      <rPr>
        <sz val="9"/>
        <rFont val="DejaVu Sans"/>
        <family val="2"/>
      </rPr>
      <t xml:space="preserve">件指摘  ▶網羅性・試算表不一致</t>
    </r>
    <r>
      <rPr>
        <sz val="9"/>
        <rFont val="DejaVu Sans"/>
        <family val="2"/>
        <charset val="1"/>
      </rPr>
      <t xml:space="preserve">(95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・網羅性が確認できる資料（試算表との一致確認）の送付をお願いします…」  ▶根拠資料不足</t>
    </r>
    <r>
      <rPr>
        <sz val="9"/>
        <rFont val="DejaVu Sans"/>
        <family val="2"/>
        <charset val="1"/>
      </rPr>
      <t xml:space="preserve">(51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・網羅性が確認できる資料（試算表との一致確認）の提出してください ・特に四半期末月に…」  【構成単位固有】計</t>
    </r>
    <r>
      <rPr>
        <sz val="9"/>
        <rFont val="DejaVu Sans"/>
        <family val="2"/>
        <charset val="1"/>
      </rPr>
      <t xml:space="preserve">88</t>
    </r>
    <r>
      <rPr>
        <sz val="9"/>
        <rFont val="DejaVu Sans"/>
        <family val="2"/>
      </rPr>
      <t xml:space="preserve">件  ▶網羅性・試算表不一致</t>
    </r>
    <r>
      <rPr>
        <sz val="9"/>
        <rFont val="DejaVu Sans"/>
        <family val="2"/>
        <charset val="1"/>
      </rPr>
      <t xml:space="preserve">(71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  ▶コメント・説明不足</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「増減のコメントに関し、前月比で</t>
    </r>
    <r>
      <rPr>
        <sz val="9"/>
        <rFont val="DejaVu Sans"/>
        <family val="2"/>
        <charset val="1"/>
      </rPr>
      <t xml:space="preserve">+-20%</t>
    </r>
    <r>
      <rPr>
        <sz val="9"/>
        <rFont val="DejaVu Sans"/>
        <family val="2"/>
      </rPr>
      <t xml:space="preserve">の増減がある場合のコメントが不足しているように見受けられましたので、ご確認をお願…」  ▶その他</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Please send us documentation that shows the data sources an…</t>
    </r>
    <r>
      <rPr>
        <sz val="9"/>
        <rFont val="DejaVu Sans"/>
        <family val="2"/>
      </rPr>
      <t xml:space="preserve">」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・前年度同月比較だけでなく、前月比の増減検…」</t>
    </r>
  </si>
  <si>
    <r>
      <rPr>
        <sz val="9"/>
        <rFont val="DejaVu Sans"/>
        <family val="2"/>
      </rPr>
      <t xml:space="preserve">レビュー指針 </t>
    </r>
    <r>
      <rPr>
        <sz val="9"/>
        <rFont val="DejaVu Sans"/>
        <family val="2"/>
        <charset val="1"/>
      </rPr>
      <t xml:space="preserve">No.6</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</si>
  <si>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06-002</t>
  </si>
  <si>
    <r>
      <rPr>
        <sz val="9"/>
        <rFont val="DejaVu Sans"/>
        <family val="2"/>
      </rPr>
      <t xml:space="preserve">計</t>
    </r>
    <r>
      <rPr>
        <sz val="9"/>
        <rFont val="DejaVu Sans"/>
        <family val="2"/>
        <charset val="1"/>
      </rPr>
      <t xml:space="preserve">199</t>
    </r>
    <r>
      <rPr>
        <sz val="9"/>
        <rFont val="DejaVu Sans"/>
        <family val="2"/>
      </rPr>
      <t xml:space="preserve">件指摘  ▶網羅性・試算表不一致</t>
    </r>
    <r>
      <rPr>
        <sz val="9"/>
        <rFont val="DejaVu Sans"/>
        <family val="2"/>
        <charset val="1"/>
      </rPr>
      <t xml:space="preserve">(95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・網羅性が確認できる資料（試算表との一致確認）の送付をお願いします…」  ▶根拠資料不足</t>
    </r>
    <r>
      <rPr>
        <sz val="9"/>
        <rFont val="DejaVu Sans"/>
        <family val="2"/>
        <charset val="1"/>
      </rPr>
      <t xml:space="preserve">(51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・網羅性が確認できる資料（試算表との一致確認）の提出してください ・特に四半期末月に…」</t>
    </r>
  </si>
  <si>
    <t xml:space="preserve">06-003</t>
  </si>
  <si>
    <r>
      <rPr>
        <sz val="9"/>
        <rFont val="DejaVu Sans"/>
        <family val="2"/>
      </rPr>
      <t xml:space="preserve">前年同期・前月比較ともに、</t>
    </r>
    <r>
      <rPr>
        <sz val="9"/>
        <rFont val="DejaVu Sans"/>
        <family val="2"/>
        <charset val="1"/>
      </rPr>
      <t xml:space="preserve">10</t>
    </r>
    <r>
      <rPr>
        <sz val="9"/>
        <rFont val="DejaVu Sans"/>
        <family val="2"/>
      </rPr>
      <t xml:space="preserve">百万円の変動、かつ、</t>
    </r>
    <r>
      <rPr>
        <sz val="9"/>
        <rFont val="DejaVu Sans"/>
        <family val="2"/>
        <charset val="1"/>
      </rPr>
      <t xml:space="preserve">20%</t>
    </r>
    <r>
      <rPr>
        <sz val="9"/>
        <rFont val="DejaVu Sans"/>
        <family val="2"/>
      </rPr>
      <t xml:space="preserve">以上の変動がある場合、増減コメントがされている</t>
    </r>
  </si>
  <si>
    <t xml:space="preserve">06-004</t>
  </si>
  <si>
    <r>
      <rPr>
        <sz val="9"/>
        <rFont val="DejaVu Sans"/>
        <family val="2"/>
      </rPr>
      <t xml:space="preserve">増減分析コメントにて、要因毎の影響金額を記載している（最低限、</t>
    </r>
    <r>
      <rPr>
        <sz val="9"/>
        <rFont val="DejaVu Sans"/>
        <family val="2"/>
        <charset val="1"/>
      </rPr>
      <t xml:space="preserve">6</t>
    </r>
    <r>
      <rPr>
        <sz val="9"/>
        <rFont val="DejaVu Sans"/>
        <family val="2"/>
      </rPr>
      <t xml:space="preserve">割～</t>
    </r>
    <r>
      <rPr>
        <sz val="9"/>
        <rFont val="DejaVu Sans"/>
        <family val="2"/>
        <charset val="1"/>
      </rPr>
      <t xml:space="preserve">7</t>
    </r>
    <r>
      <rPr>
        <sz val="9"/>
        <rFont val="DejaVu Sans"/>
        <family val="2"/>
      </rPr>
      <t xml:space="preserve">割程度）</t>
    </r>
  </si>
  <si>
    <r>
      <rPr>
        <sz val="9"/>
        <rFont val="DejaVu Sans"/>
        <family val="2"/>
      </rPr>
      <t xml:space="preserve">計</t>
    </r>
    <r>
      <rPr>
        <sz val="9"/>
        <rFont val="DejaVu Sans"/>
        <family val="2"/>
        <charset val="1"/>
      </rPr>
      <t xml:space="preserve">199</t>
    </r>
    <r>
      <rPr>
        <sz val="9"/>
        <rFont val="DejaVu Sans"/>
        <family val="2"/>
      </rPr>
      <t xml:space="preserve">件指摘  ▶網羅性・試算表不一致</t>
    </r>
    <r>
      <rPr>
        <sz val="9"/>
        <rFont val="DejaVu Sans"/>
        <family val="2"/>
        <charset val="1"/>
      </rPr>
      <t xml:space="preserve">(95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・網羅性が確認できる資料（試算表との一致確認）の送付をお願いします…」  ▶根拠資料不足</t>
    </r>
    <r>
      <rPr>
        <sz val="9"/>
        <rFont val="DejaVu Sans"/>
        <family val="2"/>
        <charset val="1"/>
      </rPr>
      <t xml:space="preserve">(51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・網羅性が確認できる資料（試算表との一致確認）の提出してください ・特に四半期末月に…」  ▶【構成単位固有要件】要因毎の影響金額記載（</t>
    </r>
    <r>
      <rPr>
        <sz val="9"/>
        <rFont val="DejaVu Sans"/>
        <family val="2"/>
        <charset val="1"/>
      </rPr>
      <t xml:space="preserve">6</t>
    </r>
    <r>
      <rPr>
        <sz val="9"/>
        <rFont val="DejaVu Sans"/>
        <family val="2"/>
      </rPr>
      <t xml:space="preserve">〜</t>
    </r>
    <r>
      <rPr>
        <sz val="9"/>
        <rFont val="DejaVu Sans"/>
        <family val="2"/>
        <charset val="1"/>
      </rPr>
      <t xml:space="preserve">7</t>
    </r>
    <r>
      <rPr>
        <sz val="9"/>
        <rFont val="DejaVu Sans"/>
        <family val="2"/>
      </rPr>
      <t xml:space="preserve">割以上）は構成単位の</t>
    </r>
    <r>
      <rPr>
        <sz val="9"/>
        <rFont val="DejaVu Sans"/>
        <family val="2"/>
        <charset val="1"/>
      </rPr>
      <t xml:space="preserve">1</t>
    </r>
    <r>
      <rPr>
        <sz val="9"/>
        <rFont val="DejaVu Sans"/>
        <family val="2"/>
      </rPr>
      <t xml:space="preserve">次レビュー要件（非構成単位は定量記載不要）</t>
    </r>
  </si>
  <si>
    <t xml:space="preserve">06-005</t>
  </si>
  <si>
    <t xml:space="preserve">特に四半期末月に上昇傾向があった場合に、根拠資料に基づいて売上計上の妥当性を検証している。また、検証した旨がコメントされている。</t>
  </si>
  <si>
    <t xml:space="preserve">06-006</t>
  </si>
  <si>
    <t xml:space="preserve">増減分析コメントにて、増減内容の説明になっている</t>
  </si>
  <si>
    <t xml:space="preserve">06-007</t>
  </si>
  <si>
    <t xml:space="preserve">増減分析コメントにて、金額推移と整合した説明になっている</t>
  </si>
  <si>
    <t xml:space="preserve">06-008</t>
  </si>
  <si>
    <r>
      <rPr>
        <sz val="9"/>
        <rFont val="DejaVu Sans"/>
        <family val="2"/>
      </rPr>
      <t xml:space="preserve">前年同期・前月比較ともに、</t>
    </r>
    <r>
      <rPr>
        <sz val="9"/>
        <rFont val="DejaVu Sans"/>
        <family val="2"/>
        <charset val="1"/>
      </rPr>
      <t xml:space="preserve">10</t>
    </r>
    <r>
      <rPr>
        <sz val="9"/>
        <rFont val="DejaVu Sans"/>
        <family val="2"/>
      </rPr>
      <t xml:space="preserve">百万円の変動、かつ、</t>
    </r>
    <r>
      <rPr>
        <sz val="9"/>
        <rFont val="DejaVu Sans"/>
        <family val="2"/>
        <charset val="1"/>
      </rPr>
      <t xml:space="preserve">20%</t>
    </r>
    <r>
      <rPr>
        <sz val="9"/>
        <rFont val="DejaVu Sans"/>
        <family val="2"/>
      </rPr>
      <t xml:space="preserve">以上の変動がある場合、増減コメントがされている
特に四半期末月に上昇傾向があった場合に、増減分析コメントにて、要因を記載している</t>
    </r>
  </si>
  <si>
    <r>
      <rPr>
        <sz val="9"/>
        <rFont val="DejaVu Sans"/>
        <family val="2"/>
      </rPr>
      <t xml:space="preserve">【非構成単位専用】構成単位版では</t>
    </r>
    <r>
      <rPr>
        <sz val="9"/>
        <rFont val="DejaVu Sans"/>
        <family val="2"/>
        <charset val="1"/>
      </rPr>
      <t xml:space="preserve">06-003</t>
    </r>
    <r>
      <rPr>
        <sz val="9"/>
        <rFont val="DejaVu Sans"/>
        <family val="2"/>
      </rPr>
      <t xml:space="preserve">〜</t>
    </r>
    <r>
      <rPr>
        <sz val="9"/>
        <rFont val="DejaVu Sans"/>
        <family val="2"/>
        <charset val="1"/>
      </rPr>
      <t xml:space="preserve">06-005</t>
    </r>
    <r>
      <rPr>
        <sz val="9"/>
        <rFont val="DejaVu Sans"/>
        <family val="2"/>
      </rPr>
      <t xml:space="preserve">が適用（定量要件・四半期末月妥当性検証あり）。</t>
    </r>
  </si>
  <si>
    <t xml:space="preserve">07-001</t>
  </si>
  <si>
    <t xml:space="preserve">07-002</t>
  </si>
  <si>
    <r>
      <rPr>
        <sz val="9"/>
        <rFont val="DejaVu Sans"/>
        <family val="2"/>
      </rPr>
      <t xml:space="preserve">網羅性が確認できる情報が記載又は提出されている（売上明細データと試算表</t>
    </r>
    <r>
      <rPr>
        <sz val="9"/>
        <rFont val="DejaVu Sans"/>
        <family val="2"/>
        <charset val="1"/>
      </rPr>
      <t xml:space="preserve">PL</t>
    </r>
    <r>
      <rPr>
        <sz val="9"/>
        <rFont val="DejaVu Sans"/>
        <family val="2"/>
      </rPr>
      <t xml:space="preserve">の一致が事前確認されている）</t>
    </r>
  </si>
  <si>
    <t xml:space="preserve">07-003</t>
  </si>
  <si>
    <r>
      <rPr>
        <sz val="9"/>
        <rFont val="DejaVu Sans"/>
        <family val="2"/>
      </rPr>
      <t xml:space="preserve">アンケートの全</t>
    </r>
    <r>
      <rPr>
        <sz val="9"/>
        <rFont val="DejaVu Sans"/>
        <family val="2"/>
        <charset val="1"/>
      </rPr>
      <t xml:space="preserve">4</t>
    </r>
    <r>
      <rPr>
        <sz val="9"/>
        <rFont val="DejaVu Sans"/>
        <family val="2"/>
      </rPr>
      <t xml:space="preserve">セクション（概要整理・商流図・チェックシート・</t>
    </r>
    <r>
      <rPr>
        <sz val="9"/>
        <rFont val="DejaVu Sans"/>
        <family val="2"/>
        <charset val="1"/>
      </rPr>
      <t xml:space="preserve">PL</t>
    </r>
    <r>
      <rPr>
        <sz val="9"/>
        <rFont val="DejaVu Sans"/>
        <family val="2"/>
      </rPr>
      <t xml:space="preserve">金額）が記入・提出されている</t>
    </r>
  </si>
  <si>
    <t xml:space="preserve">07-004</t>
  </si>
  <si>
    <r>
      <rPr>
        <sz val="9"/>
        <rFont val="DejaVu Sans"/>
        <family val="2"/>
      </rPr>
      <t xml:space="preserve">年間売上金額</t>
    </r>
    <r>
      <rPr>
        <sz val="9"/>
        <rFont val="DejaVu Sans"/>
        <family val="2"/>
        <charset val="1"/>
      </rPr>
      <t xml:space="preserve">1</t>
    </r>
    <r>
      <rPr>
        <sz val="9"/>
        <rFont val="DejaVu Sans"/>
        <family val="2"/>
      </rPr>
      <t xml:space="preserve">億円以上の取引がすべて記載されている（</t>
    </r>
    <r>
      <rPr>
        <sz val="9"/>
        <rFont val="DejaVu Sans"/>
        <family val="2"/>
        <charset val="1"/>
      </rPr>
      <t xml:space="preserve">1</t>
    </r>
    <r>
      <rPr>
        <sz val="9"/>
        <rFont val="DejaVu Sans"/>
        <family val="2"/>
      </rPr>
      <t xml:space="preserve">億円未満のみの場合はその旨が明記されている）</t>
    </r>
  </si>
  <si>
    <t xml:space="preserve">07-005</t>
  </si>
  <si>
    <r>
      <rPr>
        <sz val="9"/>
        <rFont val="DejaVu Sans"/>
        <family val="2"/>
      </rPr>
      <t xml:space="preserve">年間売上金額</t>
    </r>
    <r>
      <rPr>
        <sz val="9"/>
        <rFont val="DejaVu Sans"/>
        <family val="2"/>
        <charset val="1"/>
      </rPr>
      <t xml:space="preserve">5</t>
    </r>
    <r>
      <rPr>
        <sz val="9"/>
        <rFont val="DejaVu Sans"/>
        <family val="2"/>
      </rPr>
      <t xml:space="preserve">億円以上の取引について取引基本契約書（</t>
    </r>
    <r>
      <rPr>
        <sz val="9"/>
        <rFont val="DejaVu Sans"/>
        <family val="2"/>
        <charset val="1"/>
      </rPr>
      <t xml:space="preserve">PDF</t>
    </r>
    <r>
      <rPr>
        <sz val="9"/>
        <rFont val="DejaVu Sans"/>
        <family val="2"/>
      </rPr>
      <t xml:space="preserve">）が提出されている</t>
    </r>
  </si>
  <si>
    <t xml:space="preserve">07-006</t>
  </si>
  <si>
    <r>
      <rPr>
        <sz val="9"/>
        <rFont val="DejaVu Sans"/>
        <family val="2"/>
      </rPr>
      <t xml:space="preserve">売上計上基準（出荷</t>
    </r>
    <r>
      <rPr>
        <sz val="9"/>
        <rFont val="DejaVu Sans"/>
        <family val="2"/>
        <charset val="1"/>
      </rPr>
      <t xml:space="preserve">/</t>
    </r>
    <r>
      <rPr>
        <sz val="9"/>
        <rFont val="DejaVu Sans"/>
        <family val="2"/>
      </rPr>
      <t xml:space="preserve">着荷</t>
    </r>
    <r>
      <rPr>
        <sz val="9"/>
        <rFont val="DejaVu Sans"/>
        <family val="2"/>
        <charset val="1"/>
      </rPr>
      <t xml:space="preserve">/</t>
    </r>
    <r>
      <rPr>
        <sz val="9"/>
        <rFont val="DejaVu Sans"/>
        <family val="2"/>
      </rPr>
      <t xml:space="preserve">検収等）がチェックシートに記載され実態と整合している</t>
    </r>
  </si>
  <si>
    <t xml:space="preserve">07-007</t>
  </si>
  <si>
    <t xml:space="preserve">代理人取引・スルー取引・二重売上リスク・預かり在庫に関する確認事項がチェックシートに回答されている</t>
  </si>
  <si>
    <t xml:space="preserve">08-001</t>
  </si>
  <si>
    <r>
      <rPr>
        <sz val="9"/>
        <rFont val="DejaVu Sans"/>
        <family val="2"/>
      </rPr>
      <t xml:space="preserve">計</t>
    </r>
    <r>
      <rPr>
        <sz val="9"/>
        <rFont val="DejaVu Sans"/>
        <family val="2"/>
        <charset val="1"/>
      </rPr>
      <t xml:space="preserve">285</t>
    </r>
    <r>
      <rPr>
        <sz val="9"/>
        <rFont val="DejaVu Sans"/>
        <family val="2"/>
      </rPr>
      <t xml:space="preserve">件指摘  ▶根拠資料不足</t>
    </r>
    <r>
      <rPr>
        <sz val="9"/>
        <rFont val="DejaVu Sans"/>
        <family val="2"/>
        <charset val="1"/>
      </rPr>
      <t xml:space="preserve">(156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1,000</t>
    </r>
    <r>
      <rPr>
        <sz val="9"/>
        <rFont val="DejaVu Sans"/>
        <family val="2"/>
      </rPr>
      <t xml:space="preserve">万円以上の売上の根拠として契約書を提出いただいておりますが単価のみの記載のため請求額の根拠資料となる数量が分かる資料の送付をお願いします…」  ▶網羅性・試算表不一致</t>
    </r>
    <r>
      <rPr>
        <sz val="9"/>
        <rFont val="DejaVu Sans"/>
        <family val="2"/>
        <charset val="1"/>
      </rPr>
      <t xml:space="preserve">(73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・網羅性が確認できる資料（試算表との一致確認）の提出してください…」  【構成単位固有】計</t>
    </r>
    <r>
      <rPr>
        <sz val="9"/>
        <rFont val="DejaVu Sans"/>
        <family val="2"/>
        <charset val="1"/>
      </rPr>
      <t xml:space="preserve">109</t>
    </r>
    <r>
      <rPr>
        <sz val="9"/>
        <rFont val="DejaVu Sans"/>
        <family val="2"/>
      </rPr>
      <t xml:space="preserve">件  ▶網羅性・試算表不一致</t>
    </r>
    <r>
      <rPr>
        <sz val="9"/>
        <rFont val="DejaVu Sans"/>
        <family val="2"/>
        <charset val="1"/>
      </rPr>
      <t xml:space="preserve">(64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「・売上明細のデータソースと抽出条件が分かる資料（画面コピーなど）の送付をお願いします ・網羅性が確認できる資料（試算表と…」  ▶根拠資料不足</t>
    </r>
    <r>
      <rPr>
        <sz val="9"/>
        <rFont val="DejaVu Sans"/>
        <family val="2"/>
        <charset val="1"/>
      </rPr>
      <t xml:space="preserve">(18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t>
    </r>
    <r>
      <rPr>
        <sz val="9"/>
        <rFont val="DejaVu Sans"/>
        <family val="2"/>
        <charset val="1"/>
      </rPr>
      <t xml:space="preserve">10</t>
    </r>
    <r>
      <rPr>
        <sz val="9"/>
        <rFont val="DejaVu Sans"/>
        <family val="2"/>
      </rPr>
      <t xml:space="preserve">百万円以上の取引について、根拠資料（数…」  ▶コメント・説明不足</t>
    </r>
    <r>
      <rPr>
        <sz val="9"/>
        <rFont val="DejaVu Sans"/>
        <family val="2"/>
        <charset val="1"/>
      </rPr>
      <t xml:space="preserve">(16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10</t>
    </r>
    <r>
      <rPr>
        <sz val="9"/>
        <rFont val="DejaVu Sans"/>
        <family val="2"/>
      </rPr>
      <t xml:space="preserve">百万円以上の</t>
    </r>
    <r>
      <rPr>
        <sz val="9"/>
        <rFont val="DejaVu Sans"/>
        <family val="2"/>
        <charset val="1"/>
      </rPr>
      <t xml:space="preserve">2</t>
    </r>
    <r>
      <rPr>
        <sz val="9"/>
        <rFont val="DejaVu Sans"/>
        <family val="2"/>
      </rPr>
      <t xml:space="preserve">件については、収益計上の妥当性の検証を終えました。ただ、全ての売上について、売上計上の妥当性（収益認…」  ▶その他</t>
    </r>
    <r>
      <rPr>
        <sz val="9"/>
        <rFont val="DejaVu Sans"/>
        <family val="2"/>
        <charset val="1"/>
      </rPr>
      <t xml:space="preserve">(11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「物販</t>
    </r>
    <r>
      <rPr>
        <sz val="9"/>
        <rFont val="DejaVu Sans"/>
        <family val="2"/>
        <charset val="1"/>
      </rPr>
      <t xml:space="preserve">(EC</t>
    </r>
    <r>
      <rPr>
        <sz val="9"/>
        <rFont val="DejaVu Sans"/>
        <family val="2"/>
      </rPr>
      <t xml:space="preserve">サイトを通る売上高</t>
    </r>
    <r>
      <rPr>
        <sz val="9"/>
        <rFont val="DejaVu Sans"/>
        <family val="2"/>
        <charset val="1"/>
      </rPr>
      <t xml:space="preserve">)</t>
    </r>
    <r>
      <rPr>
        <sz val="9"/>
        <rFont val="DejaVu Sans"/>
        <family val="2"/>
      </rPr>
      <t xml:space="preserve">について、ヤマト</t>
    </r>
    <r>
      <rPr>
        <sz val="9"/>
        <rFont val="DejaVu Sans"/>
        <family val="2"/>
        <charset val="1"/>
      </rPr>
      <t xml:space="preserve">/</t>
    </r>
    <r>
      <rPr>
        <sz val="9"/>
        <rFont val="DejaVu Sans"/>
        <family val="2"/>
      </rPr>
      <t xml:space="preserve">佐川等の外部サイトから取得した</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月分の伝票番号データをご提出く…」</t>
    </r>
  </si>
  <si>
    <r>
      <rPr>
        <sz val="9"/>
        <rFont val="DejaVu Sans"/>
        <family val="2"/>
      </rPr>
      <t xml:space="preserve">レビュー指針 </t>
    </r>
    <r>
      <rPr>
        <sz val="9"/>
        <rFont val="DejaVu Sans"/>
        <family val="2"/>
        <charset val="1"/>
      </rPr>
      <t xml:space="preserve">No.8</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</si>
  <si>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08-002</t>
  </si>
  <si>
    <r>
      <rPr>
        <sz val="9"/>
        <rFont val="Calibri"/>
        <family val="0"/>
        <charset val="1"/>
      </rPr>
      <t xml:space="preserve">26</t>
    </r>
    <r>
      <rPr>
        <sz val="9"/>
        <rFont val="DejaVu Sans"/>
        <family val="2"/>
      </rPr>
      <t xml:space="preserve">年</t>
    </r>
    <r>
      <rPr>
        <sz val="9"/>
        <rFont val="Calibri"/>
        <family val="0"/>
        <charset val="1"/>
      </rPr>
      <t xml:space="preserve">3</t>
    </r>
    <r>
      <rPr>
        <sz val="9"/>
        <rFont val="DejaVu Sans"/>
        <family val="2"/>
      </rPr>
      <t xml:space="preserve">月単月の全ての売上明細が提出されている（試算表との一致が確認できる）</t>
    </r>
  </si>
  <si>
    <r>
      <rPr>
        <sz val="9"/>
        <rFont val="DejaVu Sans"/>
        <family val="2"/>
      </rPr>
      <t xml:space="preserve">計</t>
    </r>
    <r>
      <rPr>
        <sz val="9"/>
        <rFont val="DejaVu Sans"/>
        <family val="2"/>
        <charset val="1"/>
      </rPr>
      <t xml:space="preserve">285</t>
    </r>
    <r>
      <rPr>
        <sz val="9"/>
        <rFont val="DejaVu Sans"/>
        <family val="2"/>
      </rPr>
      <t xml:space="preserve">件指摘  ▶根拠資料不足</t>
    </r>
    <r>
      <rPr>
        <sz val="9"/>
        <rFont val="DejaVu Sans"/>
        <family val="2"/>
        <charset val="1"/>
      </rPr>
      <t xml:space="preserve">(156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1,000</t>
    </r>
    <r>
      <rPr>
        <sz val="9"/>
        <rFont val="DejaVu Sans"/>
        <family val="2"/>
      </rPr>
      <t xml:space="preserve">万円以上の売上の根拠として契約書を提出いただいておりますが単価のみの記載のため請求額の根拠資料となる数量が分かる資料の送付をお願いします…」  ▶網羅性・試算表不一致</t>
    </r>
    <r>
      <rPr>
        <sz val="9"/>
        <rFont val="DejaVu Sans"/>
        <family val="2"/>
        <charset val="1"/>
      </rPr>
      <t xml:space="preserve">(73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・網羅性が確認できる資料（試算表との一致確認）の提出してください…」</t>
    </r>
  </si>
  <si>
    <t xml:space="preserve">08-003</t>
  </si>
  <si>
    <t xml:space="preserve">全ての明細に対して売上計上の妥当性（収益認識基準を満たしているか）を検討したコメントが残されている</t>
  </si>
  <si>
    <t xml:space="preserve">08-004</t>
  </si>
  <si>
    <r>
      <rPr>
        <sz val="9"/>
        <rFont val="Calibri"/>
        <family val="0"/>
        <charset val="1"/>
      </rPr>
      <t xml:space="preserve">1,000</t>
    </r>
    <r>
      <rPr>
        <sz val="9"/>
        <rFont val="DejaVu Sans"/>
        <family val="2"/>
      </rPr>
      <t xml:space="preserve">万円以上の取引について、根拠資料が提出されている</t>
    </r>
  </si>
  <si>
    <t xml:space="preserve">08-005</t>
  </si>
  <si>
    <t xml:space="preserve">根拠資料は第三者により作成または承認されたものである</t>
  </si>
  <si>
    <t xml:space="preserve">08-006</t>
  </si>
  <si>
    <t xml:space="preserve">収益認識基準を満たした売上計上である（根拠資料により、製品・サービス、数量が確認できる）</t>
  </si>
  <si>
    <t xml:space="preserve">08-007</t>
  </si>
  <si>
    <t xml:space="preserve">収益認識基準を満たした売上計上である（根拠資料により、売上計上日の妥当性が確認できる）</t>
  </si>
  <si>
    <t xml:space="preserve">08-008</t>
  </si>
  <si>
    <t xml:space="preserve">収益認識基準を満たさない売上計上の場合は、売上計上の可否を検討し、会計処理の顛末が記載されている</t>
  </si>
  <si>
    <t xml:space="preserve">09-001</t>
  </si>
  <si>
    <r>
      <rPr>
        <sz val="9"/>
        <rFont val="DejaVu Sans"/>
        <family val="2"/>
      </rPr>
      <t xml:space="preserve">計</t>
    </r>
    <r>
      <rPr>
        <sz val="9"/>
        <rFont val="DejaVu Sans"/>
        <family val="2"/>
        <charset val="1"/>
      </rPr>
      <t xml:space="preserve">22</t>
    </r>
    <r>
      <rPr>
        <sz val="9"/>
        <rFont val="DejaVu Sans"/>
        <family val="2"/>
      </rPr>
      <t xml:space="preserve">件指摘  ▶網羅性・試算表不一致</t>
    </r>
    <r>
      <rPr>
        <sz val="9"/>
        <rFont val="DejaVu Sans"/>
        <family val="2"/>
        <charset val="1"/>
      </rPr>
      <t xml:space="preserve">(11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「・網羅性を確認できる資料（試算表等）の提出をお願い出来ますでしょうか。…」  ▶その他</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「工事進行基準取り崩し</t>
    </r>
    <r>
      <rPr>
        <sz val="9"/>
        <rFont val="DejaVu Sans"/>
        <family val="2"/>
        <charset val="1"/>
      </rPr>
      <t xml:space="preserve">_MARUWA</t>
    </r>
    <r>
      <rPr>
        <sz val="9"/>
        <rFont val="DejaVu Sans"/>
        <family val="2"/>
      </rPr>
      <t xml:space="preserve">の</t>
    </r>
    <r>
      <rPr>
        <sz val="9"/>
        <rFont val="DejaVu Sans"/>
        <family val="2"/>
        <charset val="1"/>
      </rPr>
      <t xml:space="preserve">Excel</t>
    </r>
    <r>
      <rPr>
        <sz val="9"/>
        <rFont val="DejaVu Sans"/>
        <family val="2"/>
      </rPr>
      <t xml:space="preserve">ファイルが見当たりませんでした…」  【構成単位固有】計</t>
    </r>
    <r>
      <rPr>
        <sz val="9"/>
        <rFont val="DejaVu Sans"/>
        <family val="2"/>
        <charset val="1"/>
      </rPr>
      <t xml:space="preserve">15</t>
    </r>
    <r>
      <rPr>
        <sz val="9"/>
        <rFont val="DejaVu Sans"/>
        <family val="2"/>
      </rPr>
      <t xml:space="preserve">件  ▶網羅性・試算表不一致</t>
    </r>
    <r>
      <rPr>
        <sz val="9"/>
        <rFont val="DejaVu Sans"/>
        <family val="2"/>
        <charset val="1"/>
      </rPr>
      <t xml:space="preserve">(13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「・網羅性を確認できる資料（試算表等）の提出をお願い出来ますでしょうか。」  ▶その他</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「工事進行基準取り崩し</t>
    </r>
    <r>
      <rPr>
        <sz val="9"/>
        <rFont val="DejaVu Sans"/>
        <family val="2"/>
        <charset val="1"/>
      </rPr>
      <t xml:space="preserve">_MARUWA</t>
    </r>
    <r>
      <rPr>
        <sz val="9"/>
        <rFont val="DejaVu Sans"/>
        <family val="2"/>
      </rPr>
      <t xml:space="preserve">の</t>
    </r>
    <r>
      <rPr>
        <sz val="9"/>
        <rFont val="DejaVu Sans"/>
        <family val="2"/>
        <charset val="1"/>
      </rPr>
      <t xml:space="preserve">Excel</t>
    </r>
    <r>
      <rPr>
        <sz val="9"/>
        <rFont val="DejaVu Sans"/>
        <family val="2"/>
      </rPr>
      <t xml:space="preserve">ファイルが見当たりませんでした」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「・データソース及び抽出条件が分かる資料（画面コピーなど）の送付をお願いします。具体的には、データソースだけでなく、抽出基…」</t>
    </r>
  </si>
  <si>
    <r>
      <rPr>
        <sz val="9"/>
        <rFont val="DejaVu Sans"/>
        <family val="2"/>
      </rPr>
      <t xml:space="preserve">レビュー指針 </t>
    </r>
    <r>
      <rPr>
        <sz val="9"/>
        <rFont val="DejaVu Sans"/>
        <family val="2"/>
        <charset val="1"/>
      </rPr>
      <t xml:space="preserve">No.9</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</si>
  <si>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09-002</t>
  </si>
  <si>
    <r>
      <rPr>
        <sz val="9"/>
        <rFont val="DejaVu Sans"/>
        <family val="2"/>
      </rPr>
      <t xml:space="preserve">網羅性が確認できる情報が記載又は提出されている（例：</t>
    </r>
    <r>
      <rPr>
        <sz val="9"/>
        <rFont val="DejaVu Sans"/>
        <family val="2"/>
        <charset val="1"/>
      </rPr>
      <t xml:space="preserve">PKG</t>
    </r>
    <r>
      <rPr>
        <sz val="9"/>
        <rFont val="DejaVu Sans"/>
        <family val="2"/>
      </rPr>
      <t xml:space="preserve">の進行基準売上との一致）</t>
    </r>
  </si>
  <si>
    <r>
      <rPr>
        <sz val="9"/>
        <rFont val="DejaVu Sans"/>
        <family val="2"/>
      </rPr>
      <t xml:space="preserve">計</t>
    </r>
    <r>
      <rPr>
        <sz val="9"/>
        <rFont val="DejaVu Sans"/>
        <family val="2"/>
        <charset val="1"/>
      </rPr>
      <t xml:space="preserve">22</t>
    </r>
    <r>
      <rPr>
        <sz val="9"/>
        <rFont val="DejaVu Sans"/>
        <family val="2"/>
      </rPr>
      <t xml:space="preserve">件指摘  ▶網羅性・試算表不一致</t>
    </r>
    <r>
      <rPr>
        <sz val="9"/>
        <rFont val="DejaVu Sans"/>
        <family val="2"/>
        <charset val="1"/>
      </rPr>
      <t xml:space="preserve">(11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「・網羅性を確認できる資料（試算表等）の提出をお願い出来ますでしょうか。…」  ▶その他</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「工事進行基準取り崩し</t>
    </r>
    <r>
      <rPr>
        <sz val="9"/>
        <rFont val="DejaVu Sans"/>
        <family val="2"/>
        <charset val="1"/>
      </rPr>
      <t xml:space="preserve">_MARUWA</t>
    </r>
    <r>
      <rPr>
        <sz val="9"/>
        <rFont val="DejaVu Sans"/>
        <family val="2"/>
      </rPr>
      <t xml:space="preserve">の</t>
    </r>
    <r>
      <rPr>
        <sz val="9"/>
        <rFont val="DejaVu Sans"/>
        <family val="2"/>
        <charset val="1"/>
      </rPr>
      <t xml:space="preserve">Excel</t>
    </r>
    <r>
      <rPr>
        <sz val="9"/>
        <rFont val="DejaVu Sans"/>
        <family val="2"/>
      </rPr>
      <t xml:space="preserve">ファイルが見当たりませんでした…」</t>
    </r>
  </si>
  <si>
    <t xml:space="preserve">09-003</t>
  </si>
  <si>
    <t xml:space="preserve">全ての取引について進行基準の適用可否に関する判断根拠が記載されている</t>
  </si>
  <si>
    <t xml:space="preserve">09-004</t>
  </si>
  <si>
    <t xml:space="preserve">判断根拠が会計基準の要求事項に沿う内容になっている</t>
  </si>
  <si>
    <t xml:space="preserve">09-005</t>
  </si>
  <si>
    <t xml:space="preserve">会社の判断根拠によれば、一定期間にわたって収益を認識することが妥当である</t>
  </si>
  <si>
    <t xml:space="preserve">09-006</t>
  </si>
  <si>
    <r>
      <rPr>
        <sz val="9"/>
        <rFont val="DejaVu Sans"/>
        <family val="2"/>
      </rPr>
      <t xml:space="preserve">請負高が</t>
    </r>
    <r>
      <rPr>
        <sz val="9"/>
        <rFont val="DejaVu Sans"/>
        <family val="2"/>
        <charset val="1"/>
      </rPr>
      <t xml:space="preserve">5</t>
    </r>
    <r>
      <rPr>
        <sz val="9"/>
        <rFont val="DejaVu Sans"/>
        <family val="2"/>
      </rPr>
      <t xml:space="preserve">億円を超える工事案件は、会社の判断根拠の適切性を確認する</t>
    </r>
  </si>
  <si>
    <t xml:space="preserve">10-001</t>
  </si>
  <si>
    <r>
      <rPr>
        <sz val="9"/>
        <rFont val="DejaVu Sans"/>
        <family val="2"/>
      </rPr>
      <t xml:space="preserve">計</t>
    </r>
    <r>
      <rPr>
        <sz val="9"/>
        <rFont val="DejaVu Sans"/>
        <family val="2"/>
        <charset val="1"/>
      </rPr>
      <t xml:space="preserve">19</t>
    </r>
    <r>
      <rPr>
        <sz val="9"/>
        <rFont val="DejaVu Sans"/>
        <family val="2"/>
      </rPr>
      <t xml:space="preserve">件指摘  ▶網羅性・試算表不一致</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・網羅性を確認できる資料（試算表等）の提出をお願い出来ますでしょうか。そのうえで、…」  ▶根拠資料不足</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「・各工事案件の月ごとの実行予算について、提出いただいた成果物と試算表などの根拠資料等もしくは提出成果物と</t>
    </r>
    <r>
      <rPr>
        <sz val="9"/>
        <rFont val="DejaVu Sans"/>
        <family val="2"/>
        <charset val="1"/>
      </rPr>
      <t xml:space="preserve">No.9</t>
    </r>
    <r>
      <rPr>
        <sz val="9"/>
        <rFont val="DejaVu Sans"/>
        <family val="2"/>
      </rPr>
      <t xml:space="preserve">の整合を確認して頂き、その旨を提出物内で記載して…」  【構成単位固有】計</t>
    </r>
    <r>
      <rPr>
        <sz val="9"/>
        <rFont val="DejaVu Sans"/>
        <family val="2"/>
        <charset val="1"/>
      </rPr>
      <t xml:space="preserve">16</t>
    </r>
    <r>
      <rPr>
        <sz val="9"/>
        <rFont val="DejaVu Sans"/>
        <family val="2"/>
      </rPr>
      <t xml:space="preserve">件  ▶網羅性・試算表不一致</t>
    </r>
    <r>
      <rPr>
        <sz val="9"/>
        <rFont val="DejaVu Sans"/>
        <family val="2"/>
        <charset val="1"/>
      </rPr>
      <t xml:space="preserve">(11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  ▶コメント・説明不足</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「実行予算に著増減がある場合、コメントを記載がありませんでした」  ▶その他</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「財務資料、工事案件リスト確認できました。その上で以下ご確認をお願いします。 ・四半期毎に</t>
    </r>
    <r>
      <rPr>
        <sz val="9"/>
        <rFont val="DejaVu Sans"/>
        <family val="2"/>
        <charset val="1"/>
      </rPr>
      <t xml:space="preserve">PKG</t>
    </r>
    <r>
      <rPr>
        <sz val="9"/>
        <rFont val="DejaVu Sans"/>
        <family val="2"/>
      </rPr>
      <t xml:space="preserve">を通じて工事進行売上を計上…」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「（青字</t>
    </r>
    <r>
      <rPr>
        <sz val="9"/>
        <rFont val="DejaVu Sans"/>
        <family val="2"/>
        <charset val="1"/>
      </rPr>
      <t xml:space="preserve">5/18</t>
    </r>
    <r>
      <rPr>
        <sz val="9"/>
        <rFont val="DejaVu Sans"/>
        <family val="2"/>
      </rPr>
      <t xml:space="preserve">加筆） 関連資料「</t>
    </r>
    <r>
      <rPr>
        <sz val="9"/>
        <rFont val="DejaVu Sans"/>
        <family val="2"/>
        <charset val="1"/>
      </rPr>
      <t xml:space="preserve">WIP</t>
    </r>
    <r>
      <rPr>
        <sz val="9"/>
        <rFont val="DejaVu Sans"/>
        <family val="2"/>
      </rPr>
      <t xml:space="preserve">」をリンクにて根拠資料フォルダを確認しました。以下青字の追加「</t>
    </r>
    <r>
      <rPr>
        <sz val="9"/>
        <rFont val="DejaVu Sans"/>
        <family val="2"/>
        <charset val="1"/>
      </rPr>
      <t xml:space="preserve">WIP</t>
    </r>
    <r>
      <rPr>
        <sz val="9"/>
        <rFont val="DejaVu Sans"/>
        <family val="2"/>
      </rPr>
      <t xml:space="preserve">」資料を提出い…」</t>
    </r>
  </si>
  <si>
    <r>
      <rPr>
        <sz val="9"/>
        <rFont val="DejaVu Sans"/>
        <family val="2"/>
      </rPr>
      <t xml:space="preserve">レビュー指針 </t>
    </r>
    <r>
      <rPr>
        <sz val="9"/>
        <rFont val="DejaVu Sans"/>
        <family val="2"/>
        <charset val="1"/>
      </rPr>
      <t xml:space="preserve">No.10</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</si>
  <si>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10-002</t>
  </si>
  <si>
    <t xml:space="preserve">網羅性が確認できる情報が記載又は提出されている（試算表との一致を確認できる）</t>
  </si>
  <si>
    <r>
      <rPr>
        <sz val="9"/>
        <rFont val="DejaVu Sans"/>
        <family val="2"/>
      </rPr>
      <t xml:space="preserve">計</t>
    </r>
    <r>
      <rPr>
        <sz val="9"/>
        <rFont val="DejaVu Sans"/>
        <family val="2"/>
        <charset val="1"/>
      </rPr>
      <t xml:space="preserve">19</t>
    </r>
    <r>
      <rPr>
        <sz val="9"/>
        <rFont val="DejaVu Sans"/>
        <family val="2"/>
      </rPr>
      <t xml:space="preserve">件指摘  ▶網羅性・試算表不一致</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・網羅性を確認できる資料（試算表等）の提出をお願い出来ますでしょうか。そのうえで、…」  ▶根拠資料不足</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「・各工事案件の月ごとの実行予算について、提出いただいた成果物と試算表などの根拠資料等もしくは提出成果物と</t>
    </r>
    <r>
      <rPr>
        <sz val="9"/>
        <rFont val="DejaVu Sans"/>
        <family val="2"/>
        <charset val="1"/>
      </rPr>
      <t xml:space="preserve">No.9</t>
    </r>
    <r>
      <rPr>
        <sz val="9"/>
        <rFont val="DejaVu Sans"/>
        <family val="2"/>
      </rPr>
      <t xml:space="preserve">の整合を確認して頂き、その旨を提出物内で記載して…」</t>
    </r>
  </si>
  <si>
    <t xml:space="preserve">10-003</t>
  </si>
  <si>
    <t xml:space="preserve">実行予算に著増減がある場合、コメントを記載している</t>
  </si>
  <si>
    <t xml:space="preserve">10-004</t>
  </si>
  <si>
    <t xml:space="preserve">増減コメントが変動要因の説明になっている</t>
  </si>
  <si>
    <t xml:space="preserve">10-005</t>
  </si>
  <si>
    <t xml:space="preserve">増減コメントにより、予算の信頼性が低いと判断される場合、進行基準の適用可否を検討できている</t>
  </si>
  <si>
    <t xml:space="preserve">11-001</t>
  </si>
  <si>
    <r>
      <rPr>
        <sz val="9"/>
        <rFont val="DejaVu Sans"/>
        <family val="2"/>
      </rPr>
      <t xml:space="preserve">計</t>
    </r>
    <r>
      <rPr>
        <sz val="9"/>
        <rFont val="DejaVu Sans"/>
        <family val="2"/>
        <charset val="1"/>
      </rPr>
      <t xml:space="preserve">17</t>
    </r>
    <r>
      <rPr>
        <sz val="9"/>
        <rFont val="DejaVu Sans"/>
        <family val="2"/>
      </rPr>
      <t xml:space="preserve">件指摘  ▶網羅性・試算表不一致</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・網羅性を確認できる資料（試算表等）の提出をお願い出来ますでしょうか。そのうえで、…」  ▶根拠資料不足</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「・原材料購買データと原材料入庫データの月次比較表、工事案件の原価明細をベースにどの原材料出庫データと紐づくかを記載した資料のご送付をお願いします（※詳細は№</t>
    </r>
    <r>
      <rPr>
        <sz val="9"/>
        <rFont val="DejaVu Sans"/>
        <family val="2"/>
        <charset val="1"/>
      </rPr>
      <t xml:space="preserve">11…</t>
    </r>
    <r>
      <rPr>
        <sz val="9"/>
        <rFont val="DejaVu Sans"/>
        <family val="2"/>
      </rPr>
      <t xml:space="preserve">」  【構成単位固有】計</t>
    </r>
    <r>
      <rPr>
        <sz val="9"/>
        <rFont val="DejaVu Sans"/>
        <family val="2"/>
        <charset val="1"/>
      </rPr>
      <t xml:space="preserve">12</t>
    </r>
    <r>
      <rPr>
        <sz val="9"/>
        <rFont val="DejaVu Sans"/>
        <family val="2"/>
      </rPr>
      <t xml:space="preserve">件  ▶網羅性・試算表不一致</t>
    </r>
    <r>
      <rPr>
        <sz val="9"/>
        <rFont val="DejaVu Sans"/>
        <family val="2"/>
        <charset val="1"/>
      </rPr>
      <t xml:space="preserve">(11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  ▶その他</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No.9</t>
    </r>
    <r>
      <rPr>
        <sz val="9"/>
        <rFont val="DejaVu Sans"/>
        <family val="2"/>
      </rPr>
      <t xml:space="preserve">で提出いただいている資料と比較し、提出いただいている購買・入庫・出庫・原価の各データにつき、対応するプロジェクト…」</t>
    </r>
  </si>
  <si>
    <r>
      <rPr>
        <sz val="9"/>
        <rFont val="DejaVu Sans"/>
        <family val="2"/>
      </rPr>
      <t xml:space="preserve">レビュー指針 </t>
    </r>
    <r>
      <rPr>
        <sz val="9"/>
        <rFont val="DejaVu Sans"/>
        <family val="2"/>
        <charset val="1"/>
      </rPr>
      <t xml:space="preserve">No.11</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</si>
  <si>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11-002</t>
  </si>
  <si>
    <r>
      <rPr>
        <sz val="9"/>
        <rFont val="DejaVu Sans"/>
        <family val="2"/>
      </rPr>
      <t xml:space="preserve">計</t>
    </r>
    <r>
      <rPr>
        <sz val="9"/>
        <rFont val="DejaVu Sans"/>
        <family val="2"/>
        <charset val="1"/>
      </rPr>
      <t xml:space="preserve">17</t>
    </r>
    <r>
      <rPr>
        <sz val="9"/>
        <rFont val="DejaVu Sans"/>
        <family val="2"/>
      </rPr>
      <t xml:space="preserve">件指摘  ▶網羅性・試算表不一致</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・網羅性を確認できる資料（試算表等）の提出をお願い出来ますでしょうか。そのうえで、…」  ▶根拠資料不足</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「・原材料購買データと原材料入庫データの月次比較表、工事案件の原価明細をベースにどの原材料出庫データと紐づくかを記載した資料のご送付をお願いします（※詳細は№</t>
    </r>
    <r>
      <rPr>
        <sz val="9"/>
        <rFont val="DejaVu Sans"/>
        <family val="2"/>
        <charset val="1"/>
      </rPr>
      <t xml:space="preserve">11…</t>
    </r>
    <r>
      <rPr>
        <sz val="9"/>
        <rFont val="DejaVu Sans"/>
        <family val="2"/>
      </rPr>
      <t xml:space="preserve">」</t>
    </r>
  </si>
  <si>
    <t xml:space="preserve">11-003</t>
  </si>
  <si>
    <t xml:space="preserve">購買データ、入出庫データ、原価明細を比較し整合性を確認できている</t>
  </si>
  <si>
    <t xml:space="preserve">11-004</t>
  </si>
  <si>
    <t xml:space="preserve">差異のある取引について、差異要因がコメントされている</t>
  </si>
  <si>
    <t xml:space="preserve">11-005</t>
  </si>
  <si>
    <t xml:space="preserve">差異要因のコメントが合理的である</t>
  </si>
  <si>
    <t xml:space="preserve">12-001</t>
  </si>
  <si>
    <r>
      <rPr>
        <sz val="9"/>
        <rFont val="DejaVu Sans"/>
        <family val="2"/>
      </rPr>
      <t xml:space="preserve">計</t>
    </r>
    <r>
      <rPr>
        <sz val="9"/>
        <rFont val="DejaVu Sans"/>
        <family val="2"/>
        <charset val="1"/>
      </rPr>
      <t xml:space="preserve">22</t>
    </r>
    <r>
      <rPr>
        <sz val="9"/>
        <rFont val="DejaVu Sans"/>
        <family val="2"/>
      </rPr>
      <t xml:space="preserve">件指摘  ▶網羅性・試算表不一致</t>
    </r>
    <r>
      <rPr>
        <sz val="9"/>
        <rFont val="DejaVu Sans"/>
        <family val="2"/>
        <charset val="1"/>
      </rPr>
      <t xml:space="preserve">(12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・提出物の整合性を確認するため、</t>
    </r>
    <r>
      <rPr>
        <sz val="9"/>
        <rFont val="DejaVu Sans"/>
        <family val="2"/>
        <charset val="1"/>
      </rPr>
      <t xml:space="preserve">No9.</t>
    </r>
    <r>
      <rPr>
        <sz val="9"/>
        <rFont val="DejaVu Sans"/>
        <family val="2"/>
      </rPr>
      <t xml:space="preserve">にて各月ごとの進捗具合を記載して頂けないで…」  ▶その他</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Entity</t>
    </r>
    <r>
      <rPr>
        <sz val="9"/>
        <rFont val="DejaVu Sans"/>
        <family val="2"/>
      </rPr>
      <t xml:space="preserve">：</t>
    </r>
    <r>
      <rPr>
        <sz val="9"/>
        <rFont val="DejaVu Sans"/>
        <family val="2"/>
        <charset val="1"/>
      </rPr>
      <t xml:space="preserve">PP </t>
    </r>
    <r>
      <rPr>
        <sz val="9"/>
        <rFont val="DejaVu Sans"/>
        <family val="2"/>
      </rPr>
      <t xml:space="preserve">・</t>
    </r>
    <r>
      <rPr>
        <sz val="9"/>
        <rFont val="DejaVu Sans"/>
        <family val="2"/>
        <charset val="1"/>
      </rPr>
      <t xml:space="preserve">No12</t>
    </r>
    <r>
      <rPr>
        <sz val="9"/>
        <rFont val="DejaVu Sans"/>
        <family val="2"/>
      </rPr>
      <t xml:space="preserve">の</t>
    </r>
    <r>
      <rPr>
        <sz val="9"/>
        <rFont val="DejaVu Sans"/>
        <family val="2"/>
        <charset val="1"/>
      </rPr>
      <t xml:space="preserve">PP</t>
    </r>
    <r>
      <rPr>
        <sz val="9"/>
        <rFont val="DejaVu Sans"/>
        <family val="2"/>
      </rPr>
      <t xml:space="preserve">ファイルによると、「</t>
    </r>
    <r>
      <rPr>
        <sz val="9"/>
        <rFont val="DejaVu Sans"/>
        <family val="2"/>
        <charset val="1"/>
      </rPr>
      <t xml:space="preserve">Summary</t>
    </r>
    <r>
      <rPr>
        <sz val="9"/>
        <rFont val="DejaVu Sans"/>
        <family val="2"/>
      </rPr>
      <t xml:space="preserve">」シートにある案件が必ずしも「</t>
    </r>
    <r>
      <rPr>
        <sz val="9"/>
        <rFont val="DejaVu Sans"/>
        <family val="2"/>
        <charset val="1"/>
      </rPr>
      <t xml:space="preserve">STT</t>
    </r>
    <r>
      <rPr>
        <sz val="9"/>
        <rFont val="DejaVu Sans"/>
        <family val="2"/>
      </rPr>
      <t xml:space="preserve">」シートなどの別のシートで検討しているわけではないよう…」  【構成単位固有】計</t>
    </r>
    <r>
      <rPr>
        <sz val="9"/>
        <rFont val="DejaVu Sans"/>
        <family val="2"/>
        <charset val="1"/>
      </rPr>
      <t xml:space="preserve">13</t>
    </r>
    <r>
      <rPr>
        <sz val="9"/>
        <rFont val="DejaVu Sans"/>
        <family val="2"/>
      </rPr>
      <t xml:space="preserve">件  ▶網羅性・試算表不一致</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・提出物の整合性を確認するため、</t>
    </r>
    <r>
      <rPr>
        <sz val="9"/>
        <rFont val="DejaVu Sans"/>
        <family val="2"/>
        <charset val="1"/>
      </rPr>
      <t xml:space="preserve">No9.</t>
    </r>
    <r>
      <rPr>
        <sz val="9"/>
        <rFont val="DejaVu Sans"/>
        <family val="2"/>
      </rPr>
      <t xml:space="preserve">に…」  ▶その他</t>
    </r>
    <r>
      <rPr>
        <sz val="9"/>
        <rFont val="DejaVu Sans"/>
        <family val="2"/>
        <charset val="1"/>
      </rPr>
      <t xml:space="preserve">(3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Entity</t>
    </r>
    <r>
      <rPr>
        <sz val="9"/>
        <rFont val="DejaVu Sans"/>
        <family val="2"/>
      </rPr>
      <t xml:space="preserve">：</t>
    </r>
    <r>
      <rPr>
        <sz val="9"/>
        <rFont val="DejaVu Sans"/>
        <family val="2"/>
        <charset val="1"/>
      </rPr>
      <t xml:space="preserve">PP </t>
    </r>
    <r>
      <rPr>
        <sz val="9"/>
        <rFont val="DejaVu Sans"/>
        <family val="2"/>
      </rPr>
      <t xml:space="preserve">・</t>
    </r>
    <r>
      <rPr>
        <sz val="9"/>
        <rFont val="DejaVu Sans"/>
        <family val="2"/>
        <charset val="1"/>
      </rPr>
      <t xml:space="preserve">No12</t>
    </r>
    <r>
      <rPr>
        <sz val="9"/>
        <rFont val="DejaVu Sans"/>
        <family val="2"/>
      </rPr>
      <t xml:space="preserve">の</t>
    </r>
    <r>
      <rPr>
        <sz val="9"/>
        <rFont val="DejaVu Sans"/>
        <family val="2"/>
        <charset val="1"/>
      </rPr>
      <t xml:space="preserve">PP</t>
    </r>
    <r>
      <rPr>
        <sz val="9"/>
        <rFont val="DejaVu Sans"/>
        <family val="2"/>
      </rPr>
      <t xml:space="preserve">ファイルによると、「</t>
    </r>
    <r>
      <rPr>
        <sz val="9"/>
        <rFont val="DejaVu Sans"/>
        <family val="2"/>
        <charset val="1"/>
      </rPr>
      <t xml:space="preserve">Summary</t>
    </r>
    <r>
      <rPr>
        <sz val="9"/>
        <rFont val="DejaVu Sans"/>
        <family val="2"/>
      </rPr>
      <t xml:space="preserve">」シートにある案件が必ずしも「</t>
    </r>
    <r>
      <rPr>
        <sz val="9"/>
        <rFont val="DejaVu Sans"/>
        <family val="2"/>
        <charset val="1"/>
      </rPr>
      <t xml:space="preserve">STT</t>
    </r>
    <r>
      <rPr>
        <sz val="9"/>
        <rFont val="DejaVu Sans"/>
        <family val="2"/>
      </rPr>
      <t xml:space="preserve">」シートなどの…」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「ファイル「</t>
    </r>
    <r>
      <rPr>
        <sz val="9"/>
        <rFont val="DejaVu Sans"/>
        <family val="2"/>
        <charset val="1"/>
      </rPr>
      <t xml:space="preserve">No 9 AWGS Monthly Trend GP Construction</t>
    </r>
    <r>
      <rPr>
        <sz val="9"/>
        <rFont val="DejaVu Sans"/>
        <family val="2"/>
      </rPr>
      <t xml:space="preserve">」にて実際原価と見積原価により進…」  ▶コメント・説明不足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t>
    </r>
    <r>
      <rPr>
        <sz val="9"/>
        <rFont val="DejaVu Sans"/>
        <family val="2"/>
        <charset val="1"/>
      </rPr>
      <t xml:space="preserve">2026</t>
    </r>
    <r>
      <rPr>
        <sz val="9"/>
        <rFont val="DejaVu Sans"/>
        <family val="2"/>
      </rPr>
      <t xml:space="preserve">年</t>
    </r>
    <r>
      <rPr>
        <sz val="9"/>
        <rFont val="DejaVu Sans"/>
        <family val="2"/>
        <charset val="1"/>
      </rPr>
      <t xml:space="preserve">1</t>
    </r>
    <r>
      <rPr>
        <sz val="9"/>
        <rFont val="DejaVu Sans"/>
        <family val="2"/>
      </rPr>
      <t xml:space="preserve">月以降について、記載がないた…」</t>
    </r>
  </si>
  <si>
    <r>
      <rPr>
        <sz val="9"/>
        <rFont val="DejaVu Sans"/>
        <family val="2"/>
      </rPr>
      <t xml:space="preserve">レビュー指針 </t>
    </r>
    <r>
      <rPr>
        <sz val="9"/>
        <rFont val="DejaVu Sans"/>
        <family val="2"/>
        <charset val="1"/>
      </rPr>
      <t xml:space="preserve">No.12</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</si>
  <si>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12-002</t>
  </si>
  <si>
    <r>
      <rPr>
        <sz val="9"/>
        <rFont val="DejaVu Sans"/>
        <family val="2"/>
      </rPr>
      <t xml:space="preserve">計</t>
    </r>
    <r>
      <rPr>
        <sz val="9"/>
        <rFont val="DejaVu Sans"/>
        <family val="2"/>
        <charset val="1"/>
      </rPr>
      <t xml:space="preserve">22</t>
    </r>
    <r>
      <rPr>
        <sz val="9"/>
        <rFont val="DejaVu Sans"/>
        <family val="2"/>
      </rPr>
      <t xml:space="preserve">件指摘  ▶網羅性・試算表不一致</t>
    </r>
    <r>
      <rPr>
        <sz val="9"/>
        <rFont val="DejaVu Sans"/>
        <family val="2"/>
        <charset val="1"/>
      </rPr>
      <t xml:space="preserve">(12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・提出物の整合性を確認するため、</t>
    </r>
    <r>
      <rPr>
        <sz val="9"/>
        <rFont val="DejaVu Sans"/>
        <family val="2"/>
        <charset val="1"/>
      </rPr>
      <t xml:space="preserve">No9.</t>
    </r>
    <r>
      <rPr>
        <sz val="9"/>
        <rFont val="DejaVu Sans"/>
        <family val="2"/>
      </rPr>
      <t xml:space="preserve">にて各月ごとの進捗具合を記載して頂けないで…」  ▶その他</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Entity</t>
    </r>
    <r>
      <rPr>
        <sz val="9"/>
        <rFont val="DejaVu Sans"/>
        <family val="2"/>
      </rPr>
      <t xml:space="preserve">：</t>
    </r>
    <r>
      <rPr>
        <sz val="9"/>
        <rFont val="DejaVu Sans"/>
        <family val="2"/>
        <charset val="1"/>
      </rPr>
      <t xml:space="preserve">PP </t>
    </r>
    <r>
      <rPr>
        <sz val="9"/>
        <rFont val="DejaVu Sans"/>
        <family val="2"/>
      </rPr>
      <t xml:space="preserve">・</t>
    </r>
    <r>
      <rPr>
        <sz val="9"/>
        <rFont val="DejaVu Sans"/>
        <family val="2"/>
        <charset val="1"/>
      </rPr>
      <t xml:space="preserve">No12</t>
    </r>
    <r>
      <rPr>
        <sz val="9"/>
        <rFont val="DejaVu Sans"/>
        <family val="2"/>
      </rPr>
      <t xml:space="preserve">の</t>
    </r>
    <r>
      <rPr>
        <sz val="9"/>
        <rFont val="DejaVu Sans"/>
        <family val="2"/>
        <charset val="1"/>
      </rPr>
      <t xml:space="preserve">PP</t>
    </r>
    <r>
      <rPr>
        <sz val="9"/>
        <rFont val="DejaVu Sans"/>
        <family val="2"/>
      </rPr>
      <t xml:space="preserve">ファイルによると、「</t>
    </r>
    <r>
      <rPr>
        <sz val="9"/>
        <rFont val="DejaVu Sans"/>
        <family val="2"/>
        <charset val="1"/>
      </rPr>
      <t xml:space="preserve">Summary</t>
    </r>
    <r>
      <rPr>
        <sz val="9"/>
        <rFont val="DejaVu Sans"/>
        <family val="2"/>
      </rPr>
      <t xml:space="preserve">」シートにある案件が必ずしも「</t>
    </r>
    <r>
      <rPr>
        <sz val="9"/>
        <rFont val="DejaVu Sans"/>
        <family val="2"/>
        <charset val="1"/>
      </rPr>
      <t xml:space="preserve">STT</t>
    </r>
    <r>
      <rPr>
        <sz val="9"/>
        <rFont val="DejaVu Sans"/>
        <family val="2"/>
      </rPr>
      <t xml:space="preserve">」シートなどの別のシートで検討しているわけではないよう…」</t>
    </r>
  </si>
  <si>
    <t xml:space="preserve">12-003</t>
  </si>
  <si>
    <t xml:space="preserve">案件ごとに進捗率を月次に並べて推移分析ができている</t>
  </si>
  <si>
    <t xml:space="preserve">12-004</t>
  </si>
  <si>
    <t xml:space="preserve">著しい進捗や進捗率のマイナス理由がコメントできている</t>
  </si>
  <si>
    <t xml:space="preserve">12-005</t>
  </si>
  <si>
    <t xml:space="preserve">進捗率の算定根拠資料が提出されている</t>
  </si>
  <si>
    <t xml:space="preserve">12-006</t>
  </si>
  <si>
    <t xml:space="preserve">著しい進捗や進捗率のマイナス理由が合理的である</t>
  </si>
  <si>
    <t xml:space="preserve">12-007</t>
  </si>
  <si>
    <t xml:space="preserve">進捗率が算定根拠資料に基づいて適切に算定されている</t>
  </si>
  <si>
    <t xml:space="preserve">13-001</t>
  </si>
  <si>
    <r>
      <rPr>
        <sz val="9"/>
        <rFont val="DejaVu Sans"/>
        <family val="2"/>
      </rPr>
      <t xml:space="preserve">計</t>
    </r>
    <r>
      <rPr>
        <sz val="9"/>
        <rFont val="DejaVu Sans"/>
        <family val="2"/>
        <charset val="1"/>
      </rPr>
      <t xml:space="preserve">14</t>
    </r>
    <r>
      <rPr>
        <sz val="9"/>
        <rFont val="DejaVu Sans"/>
        <family val="2"/>
      </rPr>
      <t xml:space="preserve">件指摘  ▶網羅性・試算表不一致</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・提出物の整合性を確認するため、網羅性が確認できる資料（試算表等）の送付をお願いし…」  ▶根拠資料不足</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「・根拠資料</t>
    </r>
    <r>
      <rPr>
        <sz val="9"/>
        <rFont val="DejaVu Sans"/>
        <family val="2"/>
        <charset val="1"/>
      </rPr>
      <t xml:space="preserve">/</t>
    </r>
    <r>
      <rPr>
        <sz val="9"/>
        <rFont val="DejaVu Sans"/>
        <family val="2"/>
      </rPr>
      <t xml:space="preserve">元データから成果物に至るまでの抽出手順及び条件が分かる資料をいただけますでしょうか（画面コピー等。「該当なし」の確認のため） ・網羅性が確認できる資…」  【構成単位固有】計</t>
    </r>
    <r>
      <rPr>
        <sz val="9"/>
        <rFont val="DejaVu Sans"/>
        <family val="2"/>
        <charset val="1"/>
      </rPr>
      <t xml:space="preserve">9</t>
    </r>
    <r>
      <rPr>
        <sz val="9"/>
        <rFont val="DejaVu Sans"/>
        <family val="2"/>
      </rPr>
      <t xml:space="preserve">件  ▶網羅性・試算表不一致</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  ▶その他</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「以下の</t>
    </r>
    <r>
      <rPr>
        <sz val="9"/>
        <rFont val="DejaVu Sans"/>
        <family val="2"/>
        <charset val="1"/>
      </rPr>
      <t xml:space="preserve">4</t>
    </r>
    <r>
      <rPr>
        <sz val="9"/>
        <rFont val="DejaVu Sans"/>
        <family val="2"/>
      </rPr>
      <t xml:space="preserve">案件について、案件内容、</t>
    </r>
    <r>
      <rPr>
        <sz val="9"/>
        <rFont val="DejaVu Sans"/>
        <family val="2"/>
        <charset val="1"/>
      </rPr>
      <t xml:space="preserve">WIP</t>
    </r>
    <r>
      <rPr>
        <sz val="9"/>
        <rFont val="DejaVu Sans"/>
        <family val="2"/>
      </rPr>
      <t xml:space="preserve">残高が継続している理由、及び</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t>
    </r>
    <r>
      <rPr>
        <sz val="9"/>
        <rFont val="DejaVu Sans"/>
        <family val="2"/>
        <charset val="1"/>
      </rPr>
      <t xml:space="preserve">31</t>
    </r>
    <r>
      <rPr>
        <sz val="9"/>
        <rFont val="DejaVu Sans"/>
        <family val="2"/>
      </rPr>
      <t xml:space="preserve">日時点の状況を裏付ける資料をご提供く…」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「・根拠資料</t>
    </r>
    <r>
      <rPr>
        <sz val="9"/>
        <rFont val="DejaVu Sans"/>
        <family val="2"/>
        <charset val="1"/>
      </rPr>
      <t xml:space="preserve">/</t>
    </r>
    <r>
      <rPr>
        <sz val="9"/>
        <rFont val="DejaVu Sans"/>
        <family val="2"/>
      </rPr>
      <t xml:space="preserve">元データから成果物に至るまでの抽出手順及び条件（どのような手順を踏んで該当なしと判断したのか）が分かる資料を…」</t>
    </r>
  </si>
  <si>
    <r>
      <rPr>
        <sz val="9"/>
        <rFont val="DejaVu Sans"/>
        <family val="2"/>
      </rPr>
      <t xml:space="preserve">レビュー指針 </t>
    </r>
    <r>
      <rPr>
        <sz val="9"/>
        <rFont val="DejaVu Sans"/>
        <family val="2"/>
        <charset val="1"/>
      </rPr>
      <t xml:space="preserve">No.13</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</si>
  <si>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13-002</t>
  </si>
  <si>
    <r>
      <rPr>
        <sz val="9"/>
        <rFont val="DejaVu Sans"/>
        <family val="2"/>
      </rPr>
      <t xml:space="preserve">計</t>
    </r>
    <r>
      <rPr>
        <sz val="9"/>
        <rFont val="DejaVu Sans"/>
        <family val="2"/>
        <charset val="1"/>
      </rPr>
      <t xml:space="preserve">14</t>
    </r>
    <r>
      <rPr>
        <sz val="9"/>
        <rFont val="DejaVu Sans"/>
        <family val="2"/>
      </rPr>
      <t xml:space="preserve">件指摘  ▶網羅性・試算表不一致</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・提出物の整合性を確認するため、網羅性が確認できる資料（試算表等）の送付をお願いし…」  ▶根拠資料不足</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「・根拠資料</t>
    </r>
    <r>
      <rPr>
        <sz val="9"/>
        <rFont val="DejaVu Sans"/>
        <family val="2"/>
        <charset val="1"/>
      </rPr>
      <t xml:space="preserve">/</t>
    </r>
    <r>
      <rPr>
        <sz val="9"/>
        <rFont val="DejaVu Sans"/>
        <family val="2"/>
      </rPr>
      <t xml:space="preserve">元データから成果物に至るまでの抽出手順及び条件が分かる資料をいただけますでしょうか（画面コピー等。「該当なし」の確認のため） ・網羅性が確認できる資…」</t>
    </r>
  </si>
  <si>
    <t xml:space="preserve">13-003</t>
  </si>
  <si>
    <r>
      <rPr>
        <sz val="9"/>
        <rFont val="Calibri"/>
        <family val="0"/>
        <charset val="1"/>
      </rPr>
      <t xml:space="preserve">1</t>
    </r>
    <r>
      <rPr>
        <sz val="9"/>
        <rFont val="DejaVu Sans"/>
        <family val="2"/>
      </rPr>
      <t xml:space="preserve">年以上滞留している未成工事支出金を一覧化し、滞留要因、初回原価発生日、売上原価への振替予定日が記載されている</t>
    </r>
  </si>
  <si>
    <t xml:space="preserve">13-004</t>
  </si>
  <si>
    <t xml:space="preserve">滞留要因が合理的である</t>
  </si>
  <si>
    <t xml:space="preserve">14-001</t>
  </si>
  <si>
    <r>
      <rPr>
        <sz val="9"/>
        <rFont val="DejaVu Sans"/>
        <family val="2"/>
      </rPr>
      <t xml:space="preserve">計</t>
    </r>
    <r>
      <rPr>
        <sz val="9"/>
        <rFont val="DejaVu Sans"/>
        <family val="2"/>
        <charset val="1"/>
      </rPr>
      <t xml:space="preserve">20</t>
    </r>
    <r>
      <rPr>
        <sz val="9"/>
        <rFont val="DejaVu Sans"/>
        <family val="2"/>
      </rPr>
      <t xml:space="preserve">件指摘  ▶根拠資料不足</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「・マイナス取引が網羅的に出力されていることを振替リストや各案件タブにてどのように確認すれば良いかご教示ください ・振替リストや製番原価明細のデータソースと抽出条…」  ▶その他</t>
    </r>
    <r>
      <rPr>
        <sz val="9"/>
        <rFont val="DejaVu Sans"/>
        <family val="2"/>
        <charset val="1"/>
      </rPr>
      <t xml:space="preserve">(5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「・データソース及び抽出条件が分かる資料（画面コピーなど）の送付をお願いします。具体的には、データソースだけでなく、抽出基準や抽出手順の記録を記載して頂けると幸い…」  【構成単位固有】計</t>
    </r>
    <r>
      <rPr>
        <sz val="9"/>
        <rFont val="DejaVu Sans"/>
        <family val="2"/>
        <charset val="1"/>
      </rPr>
      <t xml:space="preserve">13</t>
    </r>
    <r>
      <rPr>
        <sz val="9"/>
        <rFont val="DejaVu Sans"/>
        <family val="2"/>
      </rPr>
      <t xml:space="preserve">件  ▶網羅性・試算表不一致</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「・原価振替取引の要因説明について、提出いただいた成果物と試算表などの根拠資料等の整合・金額を確認して頂き、その旨を提出物…」  ▶コメント・説明不足</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「・データソース及び抽出条件が分かる資料（画面コピーなど）の送付をお願いします。具体的には、データソースだけでなく、抽出基…」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「・マイナス取引が網羅的に出力されていることを振替リストや各案件タブにてどのように確認すれば良いかご教示ください ・振替リ…」  ▶その他</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ACT_Project actual costs_FY2025</t>
    </r>
    <r>
      <rPr>
        <sz val="9"/>
        <rFont val="DejaVu Sans"/>
        <family val="2"/>
      </rPr>
      <t xml:space="preserve">」ファイルの中には「</t>
    </r>
    <r>
      <rPr>
        <sz val="9"/>
        <rFont val="DejaVu Sans"/>
        <family val="2"/>
        <charset val="1"/>
      </rPr>
      <t xml:space="preserve">PDG (3-4)</t>
    </r>
    <r>
      <rPr>
        <sz val="9"/>
        <rFont val="DejaVu Sans"/>
        <family val="2"/>
      </rPr>
      <t xml:space="preserve">」シート、「</t>
    </r>
    <r>
      <rPr>
        <sz val="9"/>
        <rFont val="DejaVu Sans"/>
        <family val="2"/>
        <charset val="1"/>
      </rPr>
      <t xml:space="preserve">Inf…</t>
    </r>
    <r>
      <rPr>
        <sz val="9"/>
        <rFont val="DejaVu Sans"/>
        <family val="2"/>
      </rPr>
      <t xml:space="preserve">」</t>
    </r>
  </si>
  <si>
    <r>
      <rPr>
        <sz val="9"/>
        <rFont val="DejaVu Sans"/>
        <family val="2"/>
      </rPr>
      <t xml:space="preserve">レビュー指針 </t>
    </r>
    <r>
      <rPr>
        <sz val="9"/>
        <rFont val="DejaVu Sans"/>
        <family val="2"/>
        <charset val="1"/>
      </rPr>
      <t xml:space="preserve">No.14</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</si>
  <si>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14-002</t>
  </si>
  <si>
    <t xml:space="preserve">原価明細と発生原価合計が案件ごとに一致している</t>
  </si>
  <si>
    <r>
      <rPr>
        <sz val="9"/>
        <rFont val="DejaVu Sans"/>
        <family val="2"/>
      </rPr>
      <t xml:space="preserve">計</t>
    </r>
    <r>
      <rPr>
        <sz val="9"/>
        <rFont val="DejaVu Sans"/>
        <family val="2"/>
        <charset val="1"/>
      </rPr>
      <t xml:space="preserve">20</t>
    </r>
    <r>
      <rPr>
        <sz val="9"/>
        <rFont val="DejaVu Sans"/>
        <family val="2"/>
      </rPr>
      <t xml:space="preserve">件指摘  ▶根拠資料不足</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「・マイナス取引が網羅的に出力されていることを振替リストや各案件タブにてどのように確認すれば良いかご教示ください ・振替リストや製番原価明細のデータソースと抽出条…」  ▶その他</t>
    </r>
    <r>
      <rPr>
        <sz val="9"/>
        <rFont val="DejaVu Sans"/>
        <family val="2"/>
        <charset val="1"/>
      </rPr>
      <t xml:space="preserve">(5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「・データソース及び抽出条件が分かる資料（画面コピーなど）の送付をお願いします。具体的には、データソースだけでなく、抽出基準や抽出手順の記録を記載して頂けると幸い…」</t>
    </r>
  </si>
  <si>
    <t xml:space="preserve">14-003</t>
  </si>
  <si>
    <t xml:space="preserve">全ての案件のマイナス処理について、取消理由がコメントされている</t>
  </si>
  <si>
    <t xml:space="preserve">14-004</t>
  </si>
  <si>
    <r>
      <rPr>
        <sz val="9"/>
        <rFont val="DejaVu Sans"/>
        <family val="2"/>
      </rPr>
      <t xml:space="preserve">請負高</t>
    </r>
    <r>
      <rPr>
        <sz val="9"/>
        <rFont val="DejaVu Sans"/>
        <family val="2"/>
        <charset val="1"/>
      </rPr>
      <t xml:space="preserve">1</t>
    </r>
    <r>
      <rPr>
        <sz val="9"/>
        <rFont val="DejaVu Sans"/>
        <family val="2"/>
      </rPr>
      <t xml:space="preserve">億円以上の案件全てについて、マイナス取引の根拠証憑が提出されている</t>
    </r>
  </si>
  <si>
    <t xml:space="preserve">14-005</t>
  </si>
  <si>
    <t xml:space="preserve">取消理由や案件間の振替理由が合理的である</t>
  </si>
  <si>
    <t xml:space="preserve">15-001</t>
  </si>
  <si>
    <r>
      <rPr>
        <sz val="9"/>
        <rFont val="DejaVu Sans"/>
        <family val="2"/>
      </rPr>
      <t xml:space="preserve">計</t>
    </r>
    <r>
      <rPr>
        <sz val="9"/>
        <rFont val="DejaVu Sans"/>
        <family val="2"/>
        <charset val="1"/>
      </rPr>
      <t xml:space="preserve">18</t>
    </r>
    <r>
      <rPr>
        <sz val="9"/>
        <rFont val="DejaVu Sans"/>
        <family val="2"/>
      </rPr>
      <t xml:space="preserve">件指摘  ▶根拠資料不足</t>
    </r>
    <r>
      <rPr>
        <sz val="9"/>
        <rFont val="DejaVu Sans"/>
        <family val="2"/>
        <charset val="1"/>
      </rPr>
      <t xml:space="preserve">(10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No.42</t>
    </r>
    <r>
      <rPr>
        <sz val="9"/>
        <rFont val="DejaVu Sans"/>
        <family val="2"/>
      </rPr>
      <t xml:space="preserve">のご質問の返信になります。 他案件に原価付替をしているかどうかを聞いておりますか？⇒はい。インストラクション上「請負高</t>
    </r>
    <r>
      <rPr>
        <sz val="9"/>
        <rFont val="DejaVu Sans"/>
        <family val="2"/>
        <charset val="1"/>
      </rPr>
      <t xml:space="preserve">1</t>
    </r>
    <r>
      <rPr>
        <sz val="9"/>
        <rFont val="DejaVu Sans"/>
        <family val="2"/>
      </rPr>
      <t xml:space="preserve">億円以上で、利益率</t>
    </r>
    <r>
      <rPr>
        <sz val="9"/>
        <rFont val="DejaVu Sans"/>
        <family val="2"/>
        <charset val="1"/>
      </rPr>
      <t xml:space="preserve">5%</t>
    </r>
    <r>
      <rPr>
        <sz val="9"/>
        <rFont val="DejaVu Sans"/>
        <family val="2"/>
      </rPr>
      <t xml:space="preserve">以下、か…」  ▶網羅性・試算表不一致</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「・データソース、手順及び抽出条件が分かる資料（画面コピーなど）の送付をお願いします ・提出物の整合性を確認するため、試算表を提出して頂けないでしょうか。そのうえ…」  【構成単位固有】計</t>
    </r>
    <r>
      <rPr>
        <sz val="9"/>
        <rFont val="DejaVu Sans"/>
        <family val="2"/>
        <charset val="1"/>
      </rPr>
      <t xml:space="preserve">13</t>
    </r>
    <r>
      <rPr>
        <sz val="9"/>
        <rFont val="DejaVu Sans"/>
        <family val="2"/>
      </rPr>
      <t xml:space="preserve">件  ▶網羅性・試算表不一致</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「・データソース、手順及び抽出条件が分かる資料（画面コピーなど）の送付をお願いします ・提出物の整合性を確認するため、試算…」  ▶コメント・説明不足</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・「シダーフィルド蒸留所」について、原価振…」  ▶根拠資料不足</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No.42</t>
    </r>
    <r>
      <rPr>
        <sz val="9"/>
        <rFont val="DejaVu Sans"/>
        <family val="2"/>
      </rPr>
      <t xml:space="preserve">のご質問の返信になります。 他案件に原価付替をしているかどうかを聞いておりますか？⇒はい。インストラクション上…」  ▶その他</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「原価にマークアップ率を乗じて月次売上高を算定しているため、粗利率が一定となっていると推察します。工事進行基準では進捗率に…」</t>
    </r>
  </si>
  <si>
    <r>
      <rPr>
        <sz val="9"/>
        <rFont val="DejaVu Sans"/>
        <family val="2"/>
      </rPr>
      <t xml:space="preserve">レビュー指針 </t>
    </r>
    <r>
      <rPr>
        <sz val="9"/>
        <rFont val="DejaVu Sans"/>
        <family val="2"/>
        <charset val="1"/>
      </rPr>
      <t xml:space="preserve">No.15</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</si>
  <si>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15-002</t>
  </si>
  <si>
    <t xml:space="preserve">網羅性が確認できる情報が記載又は提出されている</t>
  </si>
  <si>
    <r>
      <rPr>
        <sz val="9"/>
        <rFont val="DejaVu Sans"/>
        <family val="2"/>
      </rPr>
      <t xml:space="preserve">計</t>
    </r>
    <r>
      <rPr>
        <sz val="9"/>
        <rFont val="DejaVu Sans"/>
        <family val="2"/>
        <charset val="1"/>
      </rPr>
      <t xml:space="preserve">18</t>
    </r>
    <r>
      <rPr>
        <sz val="9"/>
        <rFont val="DejaVu Sans"/>
        <family val="2"/>
      </rPr>
      <t xml:space="preserve">件指摘  ▶根拠資料不足</t>
    </r>
    <r>
      <rPr>
        <sz val="9"/>
        <rFont val="DejaVu Sans"/>
        <family val="2"/>
        <charset val="1"/>
      </rPr>
      <t xml:space="preserve">(10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No.42</t>
    </r>
    <r>
      <rPr>
        <sz val="9"/>
        <rFont val="DejaVu Sans"/>
        <family val="2"/>
      </rPr>
      <t xml:space="preserve">のご質問の返信になります。 他案件に原価付替をしているかどうかを聞いておりますか？⇒はい。インストラクション上「請負高</t>
    </r>
    <r>
      <rPr>
        <sz val="9"/>
        <rFont val="DejaVu Sans"/>
        <family val="2"/>
        <charset val="1"/>
      </rPr>
      <t xml:space="preserve">1</t>
    </r>
    <r>
      <rPr>
        <sz val="9"/>
        <rFont val="DejaVu Sans"/>
        <family val="2"/>
      </rPr>
      <t xml:space="preserve">億円以上で、利益率</t>
    </r>
    <r>
      <rPr>
        <sz val="9"/>
        <rFont val="DejaVu Sans"/>
        <family val="2"/>
        <charset val="1"/>
      </rPr>
      <t xml:space="preserve">5%</t>
    </r>
    <r>
      <rPr>
        <sz val="9"/>
        <rFont val="DejaVu Sans"/>
        <family val="2"/>
      </rPr>
      <t xml:space="preserve">以下、か…」  ▶網羅性・試算表不一致</t>
    </r>
    <r>
      <rPr>
        <sz val="9"/>
        <rFont val="DejaVu Sans"/>
        <family val="2"/>
        <charset val="1"/>
      </rPr>
      <t xml:space="preserve">(4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「・データソース、手順及び抽出条件が分かる資料（画面コピーなど）の送付をお願いします ・提出物の整合性を確認するため、試算表を提出して頂けないでしょうか。そのうえ…」</t>
    </r>
  </si>
  <si>
    <t xml:space="preserve">15-003</t>
  </si>
  <si>
    <t xml:space="preserve">案件明細を貼り付けるだけでなく、案件ごとに月次で金額が並べられ、推移分析ができる状態に整理されている</t>
  </si>
  <si>
    <t xml:space="preserve">15-004</t>
  </si>
  <si>
    <r>
      <rPr>
        <sz val="9"/>
        <rFont val="DejaVu Sans"/>
        <family val="2"/>
      </rPr>
      <t xml:space="preserve">請負高</t>
    </r>
    <r>
      <rPr>
        <sz val="9"/>
        <rFont val="DejaVu Sans"/>
        <family val="2"/>
        <charset val="1"/>
      </rPr>
      <t xml:space="preserve">1</t>
    </r>
    <r>
      <rPr>
        <sz val="9"/>
        <rFont val="DejaVu Sans"/>
        <family val="2"/>
      </rPr>
      <t xml:space="preserve">億円以上の案件だけではなくすべての案件について分析が実施されている</t>
    </r>
  </si>
  <si>
    <t xml:space="preserve">15-005</t>
  </si>
  <si>
    <r>
      <rPr>
        <sz val="9"/>
        <rFont val="DejaVu Sans"/>
        <family val="2"/>
      </rPr>
      <t xml:space="preserve">請負高</t>
    </r>
    <r>
      <rPr>
        <sz val="9"/>
        <rFont val="DejaVu Sans"/>
        <family val="2"/>
        <charset val="1"/>
      </rPr>
      <t xml:space="preserve">1</t>
    </r>
    <r>
      <rPr>
        <sz val="9"/>
        <rFont val="DejaVu Sans"/>
        <family val="2"/>
      </rPr>
      <t xml:space="preserve">億円以上で、利益率</t>
    </r>
    <r>
      <rPr>
        <sz val="9"/>
        <rFont val="DejaVu Sans"/>
        <family val="2"/>
        <charset val="1"/>
      </rPr>
      <t xml:space="preserve">5%</t>
    </r>
    <r>
      <rPr>
        <sz val="9"/>
        <rFont val="DejaVu Sans"/>
        <family val="2"/>
      </rPr>
      <t xml:space="preserve">以下、かつ、一定期間変動がない案件全てについて、原価振替の有無に関する調査結果が記載されている</t>
    </r>
  </si>
  <si>
    <t xml:space="preserve">15-006</t>
  </si>
  <si>
    <r>
      <rPr>
        <sz val="9"/>
        <rFont val="DejaVu Sans"/>
        <family val="2"/>
      </rPr>
      <t xml:space="preserve">請負高</t>
    </r>
    <r>
      <rPr>
        <sz val="9"/>
        <rFont val="DejaVu Sans"/>
        <family val="2"/>
        <charset val="1"/>
      </rPr>
      <t xml:space="preserve">1</t>
    </r>
    <r>
      <rPr>
        <sz val="9"/>
        <rFont val="DejaVu Sans"/>
        <family val="2"/>
      </rPr>
      <t xml:space="preserve">億円以上で、利益率</t>
    </r>
    <r>
      <rPr>
        <sz val="9"/>
        <rFont val="DejaVu Sans"/>
        <family val="2"/>
        <charset val="1"/>
      </rPr>
      <t xml:space="preserve">5%</t>
    </r>
    <r>
      <rPr>
        <sz val="9"/>
        <rFont val="DejaVu Sans"/>
        <family val="2"/>
      </rPr>
      <t xml:space="preserve">以下、かつ、一定期間変動がない案件全てについて、原価振替の有無に関する調査結果が提出されている</t>
    </r>
  </si>
  <si>
    <t xml:space="preserve">15-007</t>
  </si>
  <si>
    <r>
      <rPr>
        <sz val="9"/>
        <rFont val="DejaVu Sans"/>
        <family val="2"/>
      </rPr>
      <t xml:space="preserve">請負高</t>
    </r>
    <r>
      <rPr>
        <sz val="9"/>
        <rFont val="DejaVu Sans"/>
        <family val="2"/>
        <charset val="1"/>
      </rPr>
      <t xml:space="preserve">1</t>
    </r>
    <r>
      <rPr>
        <sz val="9"/>
        <rFont val="DejaVu Sans"/>
        <family val="2"/>
      </rPr>
      <t xml:space="preserve">億円以上で、利益率</t>
    </r>
    <r>
      <rPr>
        <sz val="9"/>
        <rFont val="DejaVu Sans"/>
        <family val="2"/>
        <charset val="1"/>
      </rPr>
      <t xml:space="preserve">5%</t>
    </r>
    <r>
      <rPr>
        <sz val="9"/>
        <rFont val="DejaVu Sans"/>
        <family val="2"/>
      </rPr>
      <t xml:space="preserve">以下、かつ、一定期間変動がない案件全てについて、利益率悪化の要因のコメントや残工事予算と実績の突合などから、要因を説明できている</t>
    </r>
  </si>
  <si>
    <t xml:space="preserve">16-001</t>
  </si>
  <si>
    <t xml:space="preserve">16-002</t>
  </si>
  <si>
    <t xml:space="preserve">対象となるすべての社内・会社間取引が一覧化されており網羅性が確認できる</t>
  </si>
  <si>
    <t xml:space="preserve">16-003</t>
  </si>
  <si>
    <t xml:space="preserve">価格設定が市場価格・原価ベース等の合理的な基準に基づいていることが具体的に説明されている</t>
  </si>
  <si>
    <t xml:space="preserve">16-004</t>
  </si>
  <si>
    <t xml:space="preserve">セグメント間・会社間で恣意的な利益移動が行われていないことを確認している</t>
  </si>
  <si>
    <t xml:space="preserve">17-001</t>
  </si>
  <si>
    <t xml:space="preserve">17-002</t>
  </si>
  <si>
    <t xml:space="preserve">費用振替（部門間・案件間）の一覧が提出されており対象取引の網羅性が確認できる</t>
  </si>
  <si>
    <t xml:space="preserve">17-003</t>
  </si>
  <si>
    <t xml:space="preserve">各振替について承認者と振替理由が記録されており承認証跡（稟議・メール等）が確認できる</t>
  </si>
  <si>
    <t xml:space="preserve">17-004</t>
  </si>
  <si>
    <t xml:space="preserve">振替理由が合理的であり恣意的な利益移動の意図がないことが説明されている</t>
  </si>
  <si>
    <t xml:space="preserve">18-001</t>
  </si>
  <si>
    <r>
      <rPr>
        <sz val="9"/>
        <rFont val="DejaVu Sans"/>
        <family val="2"/>
      </rPr>
      <t xml:space="preserve">計</t>
    </r>
    <r>
      <rPr>
        <sz val="9"/>
        <rFont val="DejaVu Sans"/>
        <family val="2"/>
        <charset val="1"/>
      </rPr>
      <t xml:space="preserve">245</t>
    </r>
    <r>
      <rPr>
        <sz val="9"/>
        <rFont val="DejaVu Sans"/>
        <family val="2"/>
      </rPr>
      <t xml:space="preserve">件指摘  ▶網羅性・試算表不一致</t>
    </r>
    <r>
      <rPr>
        <sz val="9"/>
        <rFont val="DejaVu Sans"/>
        <family val="2"/>
        <charset val="1"/>
      </rPr>
      <t xml:space="preserve">(103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「・上記作成の上で必要となるデータソース及び抽出条件が分かる資料（画面コピーなど）の送付をお願いいたします ・網羅性が確認できる資料（残高試算表との一致確認）の送…」  ▶根拠資料不足</t>
    </r>
    <r>
      <rPr>
        <sz val="9"/>
        <rFont val="DejaVu Sans"/>
        <family val="2"/>
        <charset val="1"/>
      </rPr>
      <t xml:space="preserve">(74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月の販売費及び一般管理費の合計と自主点検</t>
    </r>
    <r>
      <rPr>
        <sz val="9"/>
        <rFont val="DejaVu Sans"/>
        <family val="2"/>
        <charset val="1"/>
      </rPr>
      <t xml:space="preserve">06</t>
    </r>
    <r>
      <rPr>
        <sz val="9"/>
        <rFont val="DejaVu Sans"/>
        <family val="2"/>
      </rPr>
      <t xml:space="preserve">の根拠資料として格納されております月次推移表の</t>
    </r>
    <r>
      <rPr>
        <sz val="9"/>
        <rFont val="DejaVu Sans"/>
        <family val="2"/>
        <charset val="1"/>
      </rPr>
      <t xml:space="preserve">3</t>
    </r>
    <r>
      <rPr>
        <sz val="9"/>
        <rFont val="DejaVu Sans"/>
        <family val="2"/>
      </rPr>
      <t xml:space="preserve">月の金額が一致していないかと存じますが、ご確認いただけま…」  【構成単位固有】計</t>
    </r>
    <r>
      <rPr>
        <sz val="9"/>
        <rFont val="DejaVu Sans"/>
        <family val="2"/>
        <charset val="1"/>
      </rPr>
      <t xml:space="preserve">107</t>
    </r>
    <r>
      <rPr>
        <sz val="9"/>
        <rFont val="DejaVu Sans"/>
        <family val="2"/>
      </rPr>
      <t xml:space="preserve">件  ▶網羅性・試算表不一致</t>
    </r>
    <r>
      <rPr>
        <sz val="9"/>
        <rFont val="DejaVu Sans"/>
        <family val="2"/>
        <charset val="1"/>
      </rPr>
      <t xml:space="preserve">(69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t>
    </r>
    <r>
      <rPr>
        <sz val="9"/>
        <rFont val="DejaVu Sans"/>
        <family val="2"/>
      </rPr>
      <t xml:space="preserve">産業・医療・その他</t>
    </r>
    <r>
      <rPr>
        <sz val="9"/>
        <rFont val="DejaVu Sans"/>
        <family val="2"/>
        <charset val="1"/>
      </rPr>
      <t xml:space="preserve">) </t>
    </r>
    <r>
      <rPr>
        <sz val="9"/>
        <rFont val="DejaVu Sans"/>
        <family val="2"/>
      </rPr>
      <t xml:space="preserve">・販管科目の推移グラフの作成をお願いいたします </t>
    </r>
    <r>
      <rPr>
        <sz val="9"/>
        <rFont val="DejaVu Sans"/>
        <family val="2"/>
        <charset val="1"/>
      </rPr>
      <t xml:space="preserve">(EN) </t>
    </r>
    <r>
      <rPr>
        <sz val="9"/>
        <rFont val="DejaVu Sans"/>
        <family val="2"/>
      </rPr>
      <t xml:space="preserve">・データソース及び抽出条件手順</t>
    </r>
    <r>
      <rPr>
        <sz val="9"/>
        <rFont val="DejaVu Sans"/>
        <family val="2"/>
        <charset val="1"/>
      </rPr>
      <t xml:space="preserve">)</t>
    </r>
    <r>
      <rPr>
        <sz val="9"/>
        <rFont val="DejaVu Sans"/>
        <family val="2"/>
      </rPr>
      <t xml:space="preserve">が分か…」  ▶根拠資料不足</t>
    </r>
    <r>
      <rPr>
        <sz val="9"/>
        <rFont val="DejaVu Sans"/>
        <family val="2"/>
        <charset val="1"/>
      </rPr>
      <t xml:space="preserve">(19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「・根拠資料を確認すると、交際費や支払運賃費等成果物に未記載なものが見受けられるため追記いただきますようお願いいたします。」  ▶その他</t>
    </r>
    <r>
      <rPr>
        <sz val="9"/>
        <rFont val="DejaVu Sans"/>
        <family val="2"/>
        <charset val="1"/>
      </rPr>
      <t xml:space="preserve">(13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25</t>
    </r>
    <r>
      <rPr>
        <sz val="9"/>
        <rFont val="DejaVu Sans"/>
        <family val="2"/>
      </rPr>
      <t xml:space="preserve">年</t>
    </r>
    <r>
      <rPr>
        <sz val="9"/>
        <rFont val="DejaVu Sans"/>
        <family val="2"/>
        <charset val="1"/>
      </rPr>
      <t xml:space="preserve">4</t>
    </r>
    <r>
      <rPr>
        <sz val="9"/>
        <rFont val="DejaVu Sans"/>
        <family val="2"/>
      </rPr>
      <t xml:space="preserve">月～</t>
    </r>
    <r>
      <rPr>
        <sz val="9"/>
        <rFont val="DejaVu Sans"/>
        <family val="2"/>
        <charset val="1"/>
      </rPr>
      <t xml:space="preserve">26</t>
    </r>
    <r>
      <rPr>
        <sz val="9"/>
        <rFont val="DejaVu Sans"/>
        <family val="2"/>
      </rPr>
      <t xml:space="preserve">年</t>
    </r>
    <r>
      <rPr>
        <sz val="9"/>
        <rFont val="DejaVu Sans"/>
        <family val="2"/>
        <charset val="1"/>
      </rPr>
      <t xml:space="preserve">3</t>
    </r>
    <r>
      <rPr>
        <sz val="9"/>
        <rFont val="DejaVu Sans"/>
        <family val="2"/>
      </rPr>
      <t xml:space="preserve">月の科目毎のグラフが作成されていません。」  ▶コメント・説明不足</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「・グラフがおかしいかと思います（</t>
    </r>
    <r>
      <rPr>
        <sz val="9"/>
        <rFont val="DejaVu Sans"/>
        <family val="2"/>
        <charset val="1"/>
      </rPr>
      <t xml:space="preserve">4</t>
    </r>
    <r>
      <rPr>
        <sz val="9"/>
        <rFont val="DejaVu Sans"/>
        <family val="2"/>
      </rPr>
      <t xml:space="preserve">月</t>
    </r>
    <r>
      <rPr>
        <sz val="9"/>
        <rFont val="DejaVu Sans"/>
        <family val="2"/>
        <charset val="1"/>
      </rPr>
      <t xml:space="preserve">-3</t>
    </r>
    <r>
      <rPr>
        <sz val="9"/>
        <rFont val="DejaVu Sans"/>
        <family val="2"/>
      </rPr>
      <t xml:space="preserve">月ではなく、</t>
    </r>
    <r>
      <rPr>
        <sz val="9"/>
        <rFont val="DejaVu Sans"/>
        <family val="2"/>
        <charset val="1"/>
      </rPr>
      <t xml:space="preserve">1-12</t>
    </r>
    <r>
      <rPr>
        <sz val="9"/>
        <rFont val="DejaVu Sans"/>
        <family val="2"/>
      </rPr>
      <t xml:space="preserve">ですし、マイナスの月もマイナスになっていません。正しいグラフ…」</t>
    </r>
  </si>
  <si>
    <r>
      <rPr>
        <sz val="9"/>
        <rFont val="DejaVu Sans"/>
        <family val="2"/>
      </rPr>
      <t xml:space="preserve">レビュー指針 </t>
    </r>
    <r>
      <rPr>
        <sz val="9"/>
        <rFont val="DejaVu Sans"/>
        <family val="2"/>
        <charset val="1"/>
      </rPr>
      <t xml:space="preserve">No.18</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</si>
  <si>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18-002</t>
  </si>
  <si>
    <r>
      <rPr>
        <sz val="9"/>
        <rFont val="DejaVu Sans"/>
        <family val="2"/>
      </rPr>
      <t xml:space="preserve">計</t>
    </r>
    <r>
      <rPr>
        <sz val="9"/>
        <rFont val="DejaVu Sans"/>
        <family val="2"/>
        <charset val="1"/>
      </rPr>
      <t xml:space="preserve">245</t>
    </r>
    <r>
      <rPr>
        <sz val="9"/>
        <rFont val="DejaVu Sans"/>
        <family val="2"/>
      </rPr>
      <t xml:space="preserve">件指摘  ▶網羅性・試算表不一致</t>
    </r>
    <r>
      <rPr>
        <sz val="9"/>
        <rFont val="DejaVu Sans"/>
        <family val="2"/>
        <charset val="1"/>
      </rPr>
      <t xml:space="preserve">(103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「・上記作成の上で必要となるデータソース及び抽出条件が分かる資料（画面コピーなど）の送付をお願いいたします ・網羅性が確認できる資料（残高試算表との一致確認）の送…」  ▶根拠資料不足</t>
    </r>
    <r>
      <rPr>
        <sz val="9"/>
        <rFont val="DejaVu Sans"/>
        <family val="2"/>
        <charset val="1"/>
      </rPr>
      <t xml:space="preserve">(74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月の販売費及び一般管理費の合計と自主点検</t>
    </r>
    <r>
      <rPr>
        <sz val="9"/>
        <rFont val="DejaVu Sans"/>
        <family val="2"/>
        <charset val="1"/>
      </rPr>
      <t xml:space="preserve">06</t>
    </r>
    <r>
      <rPr>
        <sz val="9"/>
        <rFont val="DejaVu Sans"/>
        <family val="2"/>
      </rPr>
      <t xml:space="preserve">の根拠資料として格納されております月次推移表の</t>
    </r>
    <r>
      <rPr>
        <sz val="9"/>
        <rFont val="DejaVu Sans"/>
        <family val="2"/>
        <charset val="1"/>
      </rPr>
      <t xml:space="preserve">3</t>
    </r>
    <r>
      <rPr>
        <sz val="9"/>
        <rFont val="DejaVu Sans"/>
        <family val="2"/>
      </rPr>
      <t xml:space="preserve">月の金額が一致していないかと存じますが、ご確認いただけま…」</t>
    </r>
  </si>
  <si>
    <t xml:space="preserve">18-003</t>
  </si>
  <si>
    <r>
      <rPr>
        <sz val="9"/>
        <rFont val="Calibri"/>
        <family val="0"/>
        <charset val="1"/>
      </rPr>
      <t xml:space="preserve">25</t>
    </r>
    <r>
      <rPr>
        <sz val="9"/>
        <rFont val="DejaVu Sans"/>
        <family val="2"/>
      </rPr>
      <t xml:space="preserve">年</t>
    </r>
    <r>
      <rPr>
        <sz val="9"/>
        <rFont val="Calibri"/>
        <family val="0"/>
        <charset val="1"/>
      </rPr>
      <t xml:space="preserve">4</t>
    </r>
    <r>
      <rPr>
        <sz val="9"/>
        <rFont val="DejaVu Sans"/>
        <family val="2"/>
      </rPr>
      <t xml:space="preserve">月～</t>
    </r>
    <r>
      <rPr>
        <sz val="9"/>
        <rFont val="Calibri"/>
        <family val="0"/>
        <charset val="1"/>
      </rPr>
      <t xml:space="preserve">26</t>
    </r>
    <r>
      <rPr>
        <sz val="9"/>
        <rFont val="DejaVu Sans"/>
        <family val="2"/>
      </rPr>
      <t xml:space="preserve">年</t>
    </r>
    <r>
      <rPr>
        <sz val="9"/>
        <rFont val="Calibri"/>
        <family val="0"/>
        <charset val="1"/>
      </rPr>
      <t xml:space="preserve">3</t>
    </r>
    <r>
      <rPr>
        <sz val="9"/>
        <rFont val="DejaVu Sans"/>
        <family val="2"/>
      </rPr>
      <t xml:space="preserve">月の科目毎の月次推移表及びグラフが作成されている</t>
    </r>
  </si>
  <si>
    <r>
      <rPr>
        <sz val="9"/>
        <rFont val="DejaVu Sans"/>
        <family val="2"/>
      </rPr>
      <t xml:space="preserve">計</t>
    </r>
    <r>
      <rPr>
        <sz val="9"/>
        <rFont val="DejaVu Sans"/>
        <family val="2"/>
        <charset val="1"/>
      </rPr>
      <t xml:space="preserve">245</t>
    </r>
    <r>
      <rPr>
        <sz val="9"/>
        <rFont val="DejaVu Sans"/>
        <family val="2"/>
      </rPr>
      <t xml:space="preserve">件指摘  ▶網羅性・試算表不一致</t>
    </r>
    <r>
      <rPr>
        <sz val="9"/>
        <rFont val="DejaVu Sans"/>
        <family val="2"/>
        <charset val="1"/>
      </rPr>
      <t xml:space="preserve">(103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「・上記作成の上で必要となるデータソース及び抽出条件が分かる資料（画面コピーなど）の送付をお願いいたします ・網羅性が確認できる資料（残高試算表との一致確認）の送…」  ▶根拠資料不足</t>
    </r>
    <r>
      <rPr>
        <sz val="9"/>
        <rFont val="DejaVu Sans"/>
        <family val="2"/>
        <charset val="1"/>
      </rPr>
      <t xml:space="preserve">(74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月の販売費及び一般管理費の合計と自主点検</t>
    </r>
    <r>
      <rPr>
        <sz val="9"/>
        <rFont val="DejaVu Sans"/>
        <family val="2"/>
        <charset val="1"/>
      </rPr>
      <t xml:space="preserve">06</t>
    </r>
    <r>
      <rPr>
        <sz val="9"/>
        <rFont val="DejaVu Sans"/>
        <family val="2"/>
      </rPr>
      <t xml:space="preserve">の根拠資料として格納されております月次推移表の</t>
    </r>
    <r>
      <rPr>
        <sz val="9"/>
        <rFont val="DejaVu Sans"/>
        <family val="2"/>
        <charset val="1"/>
      </rPr>
      <t xml:space="preserve">3</t>
    </r>
    <r>
      <rPr>
        <sz val="9"/>
        <rFont val="DejaVu Sans"/>
        <family val="2"/>
      </rPr>
      <t xml:space="preserve">月の金額が一致していないかと存じますが、ご確認いただけま…」  ▶【構成単位固有要件】グラフ作成が</t>
    </r>
    <r>
      <rPr>
        <sz val="9"/>
        <rFont val="DejaVu Sans"/>
        <family val="2"/>
        <charset val="1"/>
      </rPr>
      <t xml:space="preserve">1</t>
    </r>
    <r>
      <rPr>
        <sz val="9"/>
        <rFont val="DejaVu Sans"/>
        <family val="2"/>
      </rPr>
      <t xml:space="preserve">次レビュー要件（非構成単位はグラフ不要。適切コメントがあれば差し戻しとしない）</t>
    </r>
  </si>
  <si>
    <r>
      <rPr>
        <sz val="9"/>
        <rFont val="DejaVu Sans"/>
        <family val="2"/>
      </rPr>
      <t xml:space="preserve">【構成単位</t>
    </r>
    <r>
      <rPr>
        <sz val="9"/>
        <rFont val="DejaVu Sans"/>
        <family val="2"/>
        <charset val="1"/>
      </rPr>
      <t xml:space="preserve">1</t>
    </r>
    <r>
      <rPr>
        <sz val="9"/>
        <rFont val="DejaVu Sans"/>
        <family val="2"/>
      </rPr>
      <t xml:space="preserve">次レビュー要件】グラフ作成が必須（適切コメントがある場合は差し戻しとしない）</t>
    </r>
  </si>
  <si>
    <t xml:space="preserve">18-004</t>
  </si>
  <si>
    <t xml:space="preserve">変動額と要因分析のコメントに記載されている影響金額が概ね整合している</t>
  </si>
  <si>
    <t xml:space="preserve">18-005</t>
  </si>
  <si>
    <t xml:space="preserve">変動の大きい科目について、要因の説明が十分にされている</t>
  </si>
  <si>
    <t xml:space="preserve">18-006</t>
  </si>
  <si>
    <t xml:space="preserve">変動の説明をサポートする適切な根拠資料が提出されている</t>
  </si>
  <si>
    <t xml:space="preserve">18-007</t>
  </si>
  <si>
    <r>
      <rPr>
        <sz val="9"/>
        <rFont val="Calibri"/>
        <family val="0"/>
        <charset val="1"/>
      </rPr>
      <t xml:space="preserve">25</t>
    </r>
    <r>
      <rPr>
        <sz val="9"/>
        <rFont val="DejaVu Sans"/>
        <family val="2"/>
      </rPr>
      <t xml:space="preserve">年</t>
    </r>
    <r>
      <rPr>
        <sz val="9"/>
        <rFont val="Calibri"/>
        <family val="0"/>
        <charset val="1"/>
      </rPr>
      <t xml:space="preserve">4</t>
    </r>
    <r>
      <rPr>
        <sz val="9"/>
        <rFont val="DejaVu Sans"/>
        <family val="2"/>
      </rPr>
      <t xml:space="preserve">月～</t>
    </r>
    <r>
      <rPr>
        <sz val="9"/>
        <rFont val="Calibri"/>
        <family val="0"/>
        <charset val="1"/>
      </rPr>
      <t xml:space="preserve">26</t>
    </r>
    <r>
      <rPr>
        <sz val="9"/>
        <rFont val="DejaVu Sans"/>
        <family val="2"/>
      </rPr>
      <t xml:space="preserve">年</t>
    </r>
    <r>
      <rPr>
        <sz val="9"/>
        <rFont val="Calibri"/>
        <family val="0"/>
        <charset val="1"/>
      </rPr>
      <t xml:space="preserve">3</t>
    </r>
    <r>
      <rPr>
        <sz val="9"/>
        <rFont val="DejaVu Sans"/>
        <family val="2"/>
      </rPr>
      <t xml:space="preserve">月の科目毎の月次推移表が作成されている</t>
    </r>
  </si>
  <si>
    <r>
      <rPr>
        <sz val="9"/>
        <rFont val="DejaVu Sans"/>
        <family val="2"/>
      </rPr>
      <t xml:space="preserve">【非構成単位専用】構成単位版は</t>
    </r>
    <r>
      <rPr>
        <sz val="9"/>
        <rFont val="DejaVu Sans"/>
        <family val="2"/>
        <charset val="1"/>
      </rPr>
      <t xml:space="preserve">18-003</t>
    </r>
    <r>
      <rPr>
        <sz val="9"/>
        <rFont val="DejaVu Sans"/>
        <family val="2"/>
      </rPr>
      <t xml:space="preserve">が適用（グラフが</t>
    </r>
    <r>
      <rPr>
        <sz val="9"/>
        <rFont val="DejaVu Sans"/>
        <family val="2"/>
        <charset val="1"/>
      </rPr>
      <t xml:space="preserve">1</t>
    </r>
    <r>
      <rPr>
        <sz val="9"/>
        <rFont val="DejaVu Sans"/>
        <family val="2"/>
      </rPr>
      <t xml:space="preserve">次レビュー要件）。</t>
    </r>
  </si>
  <si>
    <t xml:space="preserve">18-008</t>
  </si>
  <si>
    <t xml:space="preserve">変動の大きい科目について、要因の説明がなされている</t>
  </si>
  <si>
    <r>
      <rPr>
        <sz val="9"/>
        <rFont val="DejaVu Sans"/>
        <family val="2"/>
      </rPr>
      <t xml:space="preserve">【非構成単位専用】構成単位版は</t>
    </r>
    <r>
      <rPr>
        <sz val="9"/>
        <rFont val="DejaVu Sans"/>
        <family val="2"/>
        <charset val="1"/>
      </rPr>
      <t xml:space="preserve">18-004</t>
    </r>
    <r>
      <rPr>
        <sz val="9"/>
        <rFont val="DejaVu Sans"/>
        <family val="2"/>
      </rPr>
      <t xml:space="preserve">〜</t>
    </r>
    <r>
      <rPr>
        <sz val="9"/>
        <rFont val="DejaVu Sans"/>
        <family val="2"/>
        <charset val="1"/>
      </rPr>
      <t xml:space="preserve">18-006</t>
    </r>
    <r>
      <rPr>
        <sz val="9"/>
        <rFont val="DejaVu Sans"/>
        <family val="2"/>
      </rPr>
      <t xml:space="preserve">が適用。</t>
    </r>
  </si>
  <si>
    <t xml:space="preserve">19-001</t>
  </si>
  <si>
    <r>
      <rPr>
        <sz val="9"/>
        <rFont val="DejaVu Sans"/>
        <family val="2"/>
      </rPr>
      <t xml:space="preserve">計</t>
    </r>
    <r>
      <rPr>
        <sz val="9"/>
        <rFont val="DejaVu Sans"/>
        <family val="2"/>
        <charset val="1"/>
      </rPr>
      <t xml:space="preserve">195</t>
    </r>
    <r>
      <rPr>
        <sz val="9"/>
        <rFont val="DejaVu Sans"/>
        <family val="2"/>
      </rPr>
      <t xml:space="preserve">件指摘  ▶根拠資料不足</t>
    </r>
    <r>
      <rPr>
        <sz val="9"/>
        <rFont val="DejaVu Sans"/>
        <family val="2"/>
        <charset val="1"/>
      </rPr>
      <t xml:space="preserve">(70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「貴社親会社が作成した自主点検の説明資料によると、確認方法（作業イメージ）は以下の通りです。 １．</t>
    </r>
    <r>
      <rPr>
        <sz val="9"/>
        <rFont val="DejaVu Sans"/>
        <family val="2"/>
        <charset val="1"/>
      </rPr>
      <t xml:space="preserve">2026</t>
    </r>
    <r>
      <rPr>
        <sz val="9"/>
        <rFont val="DejaVu Sans"/>
        <family val="2"/>
      </rPr>
      <t xml:space="preserve">年</t>
    </r>
    <r>
      <rPr>
        <sz val="9"/>
        <rFont val="DejaVu Sans"/>
        <family val="2"/>
        <charset val="1"/>
      </rPr>
      <t xml:space="preserve">4</t>
    </r>
    <r>
      <rPr>
        <sz val="9"/>
        <rFont val="DejaVu Sans"/>
        <family val="2"/>
      </rPr>
      <t xml:space="preserve">月に費用計上された仕訳の明細データを出⼒し、明細デー…」  ▶網羅性・試算表不一致</t>
    </r>
    <r>
      <rPr>
        <sz val="9"/>
        <rFont val="DejaVu Sans"/>
        <family val="2"/>
        <charset val="1"/>
      </rPr>
      <t xml:space="preserve">(66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・網羅性が確認できる資料（試算表との一致確認）の送付をお願いします…」  【構成単位固有】計</t>
    </r>
    <r>
      <rPr>
        <sz val="9"/>
        <rFont val="DejaVu Sans"/>
        <family val="2"/>
        <charset val="1"/>
      </rPr>
      <t xml:space="preserve">65</t>
    </r>
    <r>
      <rPr>
        <sz val="9"/>
        <rFont val="DejaVu Sans"/>
        <family val="2"/>
      </rPr>
      <t xml:space="preserve">件  ▶網羅性・試算表不一致</t>
    </r>
    <r>
      <rPr>
        <sz val="9"/>
        <rFont val="DejaVu Sans"/>
        <family val="2"/>
        <charset val="1"/>
      </rPr>
      <t xml:space="preserve">(44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「貴社親会社が作成した自主点検の説明資料によると、確認方法（作業イメージ）は以下の通りです。 １．</t>
    </r>
    <r>
      <rPr>
        <sz val="9"/>
        <rFont val="DejaVu Sans"/>
        <family val="2"/>
        <charset val="1"/>
      </rPr>
      <t xml:space="preserve">2026</t>
    </r>
    <r>
      <rPr>
        <sz val="9"/>
        <rFont val="DejaVu Sans"/>
        <family val="2"/>
      </rPr>
      <t xml:space="preserve">年</t>
    </r>
    <r>
      <rPr>
        <sz val="9"/>
        <rFont val="DejaVu Sans"/>
        <family val="2"/>
        <charset val="1"/>
      </rPr>
      <t xml:space="preserve">4</t>
    </r>
    <r>
      <rPr>
        <sz val="9"/>
        <rFont val="DejaVu Sans"/>
        <family val="2"/>
      </rPr>
      <t xml:space="preserve">月に費用計上…」  ▶その他</t>
    </r>
    <r>
      <rPr>
        <sz val="9"/>
        <rFont val="DejaVu Sans"/>
        <family val="2"/>
        <charset val="1"/>
      </rPr>
      <t xml:space="preserve">(13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4</t>
    </r>
    <r>
      <rPr>
        <sz val="9"/>
        <rFont val="DejaVu Sans"/>
        <family val="2"/>
      </rPr>
      <t xml:space="preserve">月の仕訳データから</t>
    </r>
    <r>
      <rPr>
        <sz val="9"/>
        <rFont val="DejaVu Sans"/>
        <family val="2"/>
        <charset val="1"/>
      </rPr>
      <t xml:space="preserve">3</t>
    </r>
    <r>
      <rPr>
        <sz val="9"/>
        <rFont val="DejaVu Sans"/>
        <family val="2"/>
      </rPr>
      <t xml:space="preserve">月に計上すべき仕訳を抽出した際の抽出条件が分かる資料の送付をお願いします」  ▶根拠資料不足</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19</t>
    </r>
    <r>
      <rPr>
        <sz val="9"/>
        <rFont val="DejaVu Sans"/>
        <family val="2"/>
      </rPr>
      <t xml:space="preserve">の「当期に費用計上すべき請求書の有無」について、成果物フォルダの一次レビュー及び二次レビューそれぞれに</t>
    </r>
    <r>
      <rPr>
        <sz val="9"/>
        <rFont val="DejaVu Sans"/>
        <family val="2"/>
        <charset val="1"/>
      </rPr>
      <t xml:space="preserve">Excel</t>
    </r>
    <r>
      <rPr>
        <sz val="9"/>
        <rFont val="DejaVu Sans"/>
        <family val="2"/>
      </rPr>
      <t xml:space="preserve">を…」  ▶コメント・説明不足</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4</t>
    </r>
    <r>
      <rPr>
        <sz val="9"/>
        <rFont val="DejaVu Sans"/>
        <family val="2"/>
      </rPr>
      <t xml:space="preserve">月の総勘定元帳から</t>
    </r>
    <r>
      <rPr>
        <sz val="9"/>
        <rFont val="DejaVu Sans"/>
        <family val="2"/>
        <charset val="1"/>
      </rPr>
      <t xml:space="preserve">3</t>
    </r>
    <r>
      <rPr>
        <sz val="9"/>
        <rFont val="DejaVu Sans"/>
        <family val="2"/>
      </rPr>
      <t xml:space="preserve">月に計上すべき仕訳を抽出する際、例えば摘要欄に「</t>
    </r>
    <r>
      <rPr>
        <sz val="9"/>
        <rFont val="DejaVu Sans"/>
        <family val="2"/>
        <charset val="1"/>
      </rPr>
      <t xml:space="preserve">3</t>
    </r>
    <r>
      <rPr>
        <sz val="9"/>
        <rFont val="DejaVu Sans"/>
        <family val="2"/>
      </rPr>
      <t xml:space="preserve">月」と記載がある仕訳を検索するなどされているか…」</t>
    </r>
  </si>
  <si>
    <r>
      <rPr>
        <sz val="9"/>
        <rFont val="DejaVu Sans"/>
        <family val="2"/>
      </rPr>
      <t xml:space="preserve">レビュー指針 </t>
    </r>
    <r>
      <rPr>
        <sz val="9"/>
        <rFont val="DejaVu Sans"/>
        <family val="2"/>
        <charset val="1"/>
      </rPr>
      <t xml:space="preserve">No.19</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</si>
  <si>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19-002</t>
  </si>
  <si>
    <r>
      <rPr>
        <sz val="9"/>
        <rFont val="DejaVu Sans"/>
        <family val="2"/>
      </rPr>
      <t xml:space="preserve">計</t>
    </r>
    <r>
      <rPr>
        <sz val="9"/>
        <rFont val="DejaVu Sans"/>
        <family val="2"/>
        <charset val="1"/>
      </rPr>
      <t xml:space="preserve">195</t>
    </r>
    <r>
      <rPr>
        <sz val="9"/>
        <rFont val="DejaVu Sans"/>
        <family val="2"/>
      </rPr>
      <t xml:space="preserve">件指摘  ▶根拠資料不足</t>
    </r>
    <r>
      <rPr>
        <sz val="9"/>
        <rFont val="DejaVu Sans"/>
        <family val="2"/>
        <charset val="1"/>
      </rPr>
      <t xml:space="preserve">(70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「貴社親会社が作成した自主点検の説明資料によると、確認方法（作業イメージ）は以下の通りです。 １．</t>
    </r>
    <r>
      <rPr>
        <sz val="9"/>
        <rFont val="DejaVu Sans"/>
        <family val="2"/>
        <charset val="1"/>
      </rPr>
      <t xml:space="preserve">2026</t>
    </r>
    <r>
      <rPr>
        <sz val="9"/>
        <rFont val="DejaVu Sans"/>
        <family val="2"/>
      </rPr>
      <t xml:space="preserve">年</t>
    </r>
    <r>
      <rPr>
        <sz val="9"/>
        <rFont val="DejaVu Sans"/>
        <family val="2"/>
        <charset val="1"/>
      </rPr>
      <t xml:space="preserve">4</t>
    </r>
    <r>
      <rPr>
        <sz val="9"/>
        <rFont val="DejaVu Sans"/>
        <family val="2"/>
      </rPr>
      <t xml:space="preserve">月に費用計上された仕訳の明細データを出⼒し、明細デー…」  ▶網羅性・試算表不一致</t>
    </r>
    <r>
      <rPr>
        <sz val="9"/>
        <rFont val="DejaVu Sans"/>
        <family val="2"/>
        <charset val="1"/>
      </rPr>
      <t xml:space="preserve">(66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「・データソース及び抽出条件が分かる資料（画面コピーなど）の送付をお願いします ・網羅性が確認できる資料（試算表との一致確認）の送付をお願いします…」</t>
    </r>
  </si>
  <si>
    <t xml:space="preserve">19-003</t>
  </si>
  <si>
    <r>
      <rPr>
        <sz val="9"/>
        <rFont val="DejaVu Sans"/>
        <family val="2"/>
      </rPr>
      <t xml:space="preserve">仕訳明細データの摘要欄等から、</t>
    </r>
    <r>
      <rPr>
        <sz val="9"/>
        <rFont val="DejaVu Sans"/>
        <family val="2"/>
        <charset val="1"/>
      </rPr>
      <t xml:space="preserve">26</t>
    </r>
    <r>
      <rPr>
        <sz val="9"/>
        <rFont val="DejaVu Sans"/>
        <family val="2"/>
      </rPr>
      <t xml:space="preserve">年</t>
    </r>
    <r>
      <rPr>
        <sz val="9"/>
        <rFont val="DejaVu Sans"/>
        <family val="2"/>
        <charset val="1"/>
      </rPr>
      <t xml:space="preserve">3</t>
    </r>
    <r>
      <rPr>
        <sz val="9"/>
        <rFont val="DejaVu Sans"/>
        <family val="2"/>
      </rPr>
      <t xml:space="preserve">月以前に費用計上すべき費用の有無を確認している</t>
    </r>
  </si>
  <si>
    <t xml:space="preserve">19-004</t>
  </si>
  <si>
    <r>
      <rPr>
        <sz val="9"/>
        <rFont val="Calibri"/>
        <family val="0"/>
        <charset val="1"/>
      </rPr>
      <t xml:space="preserve">26</t>
    </r>
    <r>
      <rPr>
        <sz val="9"/>
        <rFont val="DejaVu Sans"/>
        <family val="2"/>
      </rPr>
      <t xml:space="preserve">年</t>
    </r>
    <r>
      <rPr>
        <sz val="9"/>
        <rFont val="Calibri"/>
        <family val="0"/>
        <charset val="1"/>
      </rPr>
      <t xml:space="preserve">3</t>
    </r>
    <r>
      <rPr>
        <sz val="9"/>
        <rFont val="DejaVu Sans"/>
        <family val="2"/>
      </rPr>
      <t xml:space="preserve">月以前に費用計上すべきリスクのある費用について会計処理の顛末が適切に記載されている</t>
    </r>
  </si>
  <si>
    <t xml:space="preserve">19-005</t>
  </si>
  <si>
    <t xml:space="preserve">修正した場合、伝票番号等が記載され、第三者が確認できるようになっている</t>
  </si>
  <si>
    <t xml:space="preserve">20-001</t>
  </si>
  <si>
    <t xml:space="preserve">管理部門により非経常的な取引について各部署から情報を収集している</t>
  </si>
  <si>
    <r>
      <rPr>
        <sz val="9"/>
        <rFont val="DejaVu Sans"/>
        <family val="2"/>
      </rPr>
      <t xml:space="preserve">計</t>
    </r>
    <r>
      <rPr>
        <sz val="9"/>
        <rFont val="DejaVu Sans"/>
        <family val="2"/>
        <charset val="1"/>
      </rPr>
      <t xml:space="preserve">86</t>
    </r>
    <r>
      <rPr>
        <sz val="9"/>
        <rFont val="DejaVu Sans"/>
        <family val="2"/>
      </rPr>
      <t xml:space="preserve">件指摘  ▶根拠資料不足</t>
    </r>
    <r>
      <rPr>
        <sz val="9"/>
        <rFont val="DejaVu Sans"/>
        <family val="2"/>
        <charset val="1"/>
      </rPr>
      <t xml:space="preserve">(37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「・該当なしのご回答をご提出されましたが、管理部門より各部署に情報収集を実施したことの証明できる証憑（メール、アンケート等）をご送付ください…」  ▶その他</t>
    </r>
    <r>
      <rPr>
        <sz val="9"/>
        <rFont val="DejaVu Sans"/>
        <family val="2"/>
        <charset val="1"/>
      </rPr>
      <t xml:space="preserve">(15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「各部署アンケートで「非経常的取引：あり」と回答された内容について、 以下内容を示す資料のご提出をお願いいたします。 ①収集した情報を基に、管理部門が会計処理を検…」  【構成単位固有】計</t>
    </r>
    <r>
      <rPr>
        <sz val="9"/>
        <rFont val="DejaVu Sans"/>
        <family val="2"/>
        <charset val="1"/>
      </rPr>
      <t xml:space="preserve">34</t>
    </r>
    <r>
      <rPr>
        <sz val="9"/>
        <rFont val="DejaVu Sans"/>
        <family val="2"/>
      </rPr>
      <t xml:space="preserve">件  ▶根拠資料不足</t>
    </r>
    <r>
      <rPr>
        <sz val="9"/>
        <rFont val="DejaVu Sans"/>
        <family val="2"/>
        <charset val="1"/>
      </rPr>
      <t xml:space="preserve">(17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「・該当なしのご回答をご提出されましたが、管理部門より各部署に情報収集を実施したことの証明できる証憑（メール、アンケート等…」  ▶その他</t>
    </r>
    <r>
      <rPr>
        <sz val="9"/>
        <rFont val="DejaVu Sans"/>
        <family val="2"/>
        <charset val="1"/>
      </rPr>
      <t xml:space="preserve">(10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「各部署アンケートで「非経常的取引：あり」と回答された内容について、 以下内容を示す資料のご提出をお願いいたします。 ①収…」  ▶コメント・説明不足</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「東日本営業所にて修理案件が報告されていますが、会計処理についての顛末記載がありません。 成果物として「収集した情報を基に…」</t>
    </r>
  </si>
  <si>
    <r>
      <rPr>
        <sz val="9"/>
        <rFont val="DejaVu Sans"/>
        <family val="2"/>
      </rPr>
      <t xml:space="preserve">レビュー指針 </t>
    </r>
    <r>
      <rPr>
        <sz val="9"/>
        <rFont val="DejaVu Sans"/>
        <family val="2"/>
        <charset val="1"/>
      </rPr>
      <t xml:space="preserve">No.20</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</si>
  <si>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20-002</t>
  </si>
  <si>
    <t xml:space="preserve">収集した情報を基に、管理部門が会計処理を検討している</t>
  </si>
  <si>
    <r>
      <rPr>
        <sz val="9"/>
        <rFont val="DejaVu Sans"/>
        <family val="2"/>
      </rPr>
      <t xml:space="preserve">計</t>
    </r>
    <r>
      <rPr>
        <sz val="9"/>
        <rFont val="DejaVu Sans"/>
        <family val="2"/>
        <charset val="1"/>
      </rPr>
      <t xml:space="preserve">86</t>
    </r>
    <r>
      <rPr>
        <sz val="9"/>
        <rFont val="DejaVu Sans"/>
        <family val="2"/>
      </rPr>
      <t xml:space="preserve">件指摘  ▶根拠資料不足</t>
    </r>
    <r>
      <rPr>
        <sz val="9"/>
        <rFont val="DejaVu Sans"/>
        <family val="2"/>
        <charset val="1"/>
      </rPr>
      <t xml:space="preserve">(37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「・該当なしのご回答をご提出されましたが、管理部門より各部署に情報収集を実施したことの証明できる証憑（メール、アンケート等）をご送付ください…」  ▶その他</t>
    </r>
    <r>
      <rPr>
        <sz val="9"/>
        <rFont val="DejaVu Sans"/>
        <family val="2"/>
        <charset val="1"/>
      </rPr>
      <t xml:space="preserve">(15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「各部署アンケートで「非経常的取引：あり」と回答された内容について、 以下内容を示す資料のご提出をお願いいたします。 ①収集した情報を基に、管理部門が会計処理を検…」</t>
    </r>
  </si>
  <si>
    <t xml:space="preserve">20-003</t>
  </si>
  <si>
    <t xml:space="preserve">非経常的な取引がある場合、管理部門は収集情報に基づいて正しい会計処理を行っている</t>
  </si>
  <si>
    <t xml:space="preserve">21-001</t>
  </si>
  <si>
    <r>
      <rPr>
        <sz val="9"/>
        <rFont val="DejaVu Sans"/>
        <family val="2"/>
      </rPr>
      <t xml:space="preserve">計</t>
    </r>
    <r>
      <rPr>
        <sz val="9"/>
        <rFont val="DejaVu Sans"/>
        <family val="2"/>
        <charset val="1"/>
      </rPr>
      <t xml:space="preserve">144</t>
    </r>
    <r>
      <rPr>
        <sz val="9"/>
        <rFont val="DejaVu Sans"/>
        <family val="2"/>
      </rPr>
      <t xml:space="preserve">件指摘  ▶網羅性・試算表不一致</t>
    </r>
    <r>
      <rPr>
        <sz val="9"/>
        <rFont val="DejaVu Sans"/>
        <family val="2"/>
        <charset val="1"/>
      </rPr>
      <t xml:space="preserve">(57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「・データソース及び抽出条件が分かる資料（抽出する際の条件を記載した画面スクショなど）の提出をお願い出来ますでしょうか。 ・データの網羅性確認のため、試算表の提出…」  ▶根拠資料不足</t>
    </r>
    <r>
      <rPr>
        <sz val="9"/>
        <rFont val="DejaVu Sans"/>
        <family val="2"/>
        <charset val="1"/>
      </rPr>
      <t xml:space="preserve">(40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「■販管費等の明細をご提出いただておりますが、こちらすべて見積に係る費用となりますでしょうか。 ①明細すべてが見積に係る費用の場合 ＞見積計上費用の根拠資料（一定…」  【構成単位固有】計</t>
    </r>
    <r>
      <rPr>
        <sz val="9"/>
        <rFont val="DejaVu Sans"/>
        <family val="2"/>
        <charset val="1"/>
      </rPr>
      <t xml:space="preserve">52</t>
    </r>
    <r>
      <rPr>
        <sz val="9"/>
        <rFont val="DejaVu Sans"/>
        <family val="2"/>
      </rPr>
      <t xml:space="preserve">件  ▶網羅性・試算表不一致</t>
    </r>
    <r>
      <rPr>
        <sz val="9"/>
        <rFont val="DejaVu Sans"/>
        <family val="2"/>
        <charset val="1"/>
      </rPr>
      <t xml:space="preserve">(30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「・データソース及び抽出条件が分かる資料（抽出する際の条件を記載した画面スクショなど）の提出をお願い出来ますでしょうか。 …」  ▶根拠資料不足</t>
    </r>
    <r>
      <rPr>
        <sz val="9"/>
        <rFont val="DejaVu Sans"/>
        <family val="2"/>
        <charset val="1"/>
      </rPr>
      <t xml:space="preserve">(10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「総勘定元帳の格納ありがとうございました。 </t>
    </r>
    <r>
      <rPr>
        <sz val="9"/>
        <rFont val="DejaVu Sans"/>
        <family val="2"/>
        <charset val="1"/>
      </rPr>
      <t xml:space="preserve">202603</t>
    </r>
    <r>
      <rPr>
        <sz val="9"/>
        <rFont val="DejaVu Sans"/>
        <family val="2"/>
      </rPr>
      <t xml:space="preserve">見積計上費用リスト（集計）</t>
    </r>
    <r>
      <rPr>
        <sz val="9"/>
        <rFont val="DejaVu Sans"/>
        <family val="2"/>
        <charset val="1"/>
      </rPr>
      <t xml:space="preserve">Excel</t>
    </r>
    <r>
      <rPr>
        <sz val="9"/>
        <rFont val="DejaVu Sans"/>
        <family val="2"/>
      </rPr>
      <t xml:space="preserve">ファイルを最終成果物として改め…」  ▶コメント・説明不足</t>
    </r>
    <r>
      <rPr>
        <sz val="9"/>
        <rFont val="DejaVu Sans"/>
        <family val="2"/>
        <charset val="1"/>
      </rPr>
      <t xml:space="preserve">(7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「未払費用、賞与引当金、棚卸評価引当金の計上に際し、見積の要素</t>
    </r>
    <r>
      <rPr>
        <sz val="9"/>
        <rFont val="DejaVu Sans"/>
        <family val="2"/>
        <charset val="1"/>
      </rPr>
      <t xml:space="preserve">(</t>
    </r>
    <r>
      <rPr>
        <sz val="9"/>
        <rFont val="DejaVu Sans"/>
        <family val="2"/>
      </rPr>
      <t xml:space="preserve">仮定や概算に基づく計上</t>
    </r>
    <r>
      <rPr>
        <sz val="9"/>
        <rFont val="DejaVu Sans"/>
        <family val="2"/>
        <charset val="1"/>
      </rPr>
      <t xml:space="preserve">)</t>
    </r>
    <r>
      <rPr>
        <sz val="9"/>
        <rFont val="DejaVu Sans"/>
        <family val="2"/>
      </rPr>
      <t xml:space="preserve">はございませんでしょうか。見積の要…」  ▶その他</t>
    </r>
    <r>
      <rPr>
        <sz val="9"/>
        <rFont val="DejaVu Sans"/>
        <family val="2"/>
        <charset val="1"/>
      </rPr>
      <t xml:space="preserve">(5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「・検討過程を確認するため、</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月の仕訳データに対する検討証跡を提出いただけますでしょうか。」</t>
    </r>
  </si>
  <si>
    <r>
      <rPr>
        <sz val="9"/>
        <rFont val="DejaVu Sans"/>
        <family val="2"/>
      </rPr>
      <t xml:space="preserve">レビュー指針 </t>
    </r>
    <r>
      <rPr>
        <sz val="9"/>
        <rFont val="DejaVu Sans"/>
        <family val="2"/>
        <charset val="1"/>
      </rPr>
      <t xml:space="preserve">No.21</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</si>
  <si>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21-002</t>
  </si>
  <si>
    <r>
      <rPr>
        <sz val="9"/>
        <rFont val="DejaVu Sans"/>
        <family val="2"/>
      </rPr>
      <t xml:space="preserve">計</t>
    </r>
    <r>
      <rPr>
        <sz val="9"/>
        <rFont val="DejaVu Sans"/>
        <family val="2"/>
        <charset val="1"/>
      </rPr>
      <t xml:space="preserve">144</t>
    </r>
    <r>
      <rPr>
        <sz val="9"/>
        <rFont val="DejaVu Sans"/>
        <family val="2"/>
      </rPr>
      <t xml:space="preserve">件指摘  ▶網羅性・試算表不一致</t>
    </r>
    <r>
      <rPr>
        <sz val="9"/>
        <rFont val="DejaVu Sans"/>
        <family val="2"/>
        <charset val="1"/>
      </rPr>
      <t xml:space="preserve">(57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「・データソース及び抽出条件が分かる資料（抽出する際の条件を記載した画面スクショなど）の提出をお願い出来ますでしょうか。 ・データの網羅性確認のため、試算表の提出…」  ▶根拠資料不足</t>
    </r>
    <r>
      <rPr>
        <sz val="9"/>
        <rFont val="DejaVu Sans"/>
        <family val="2"/>
        <charset val="1"/>
      </rPr>
      <t xml:space="preserve">(40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「■販管費等の明細をご提出いただておりますが、こちらすべて見積に係る費用となりますでしょうか。 ①明細すべてが見積に係る費用の場合 ＞見積計上費用の根拠資料（一定…」</t>
    </r>
  </si>
  <si>
    <t xml:space="preserve">21-003</t>
  </si>
  <si>
    <t xml:space="preserve">見積計上の根拠が十分に示されている</t>
  </si>
  <si>
    <t xml:space="preserve">22-001</t>
  </si>
  <si>
    <r>
      <rPr>
        <sz val="9"/>
        <rFont val="DejaVu Sans"/>
        <family val="2"/>
      </rPr>
      <t xml:space="preserve">計</t>
    </r>
    <r>
      <rPr>
        <sz val="9"/>
        <rFont val="DejaVu Sans"/>
        <family val="2"/>
        <charset val="1"/>
      </rPr>
      <t xml:space="preserve">148</t>
    </r>
    <r>
      <rPr>
        <sz val="9"/>
        <rFont val="DejaVu Sans"/>
        <family val="2"/>
      </rPr>
      <t xml:space="preserve">件指摘  ▶網羅性・試算表不一致</t>
    </r>
    <r>
      <rPr>
        <sz val="9"/>
        <rFont val="DejaVu Sans"/>
        <family val="2"/>
        <charset val="1"/>
      </rPr>
      <t xml:space="preserve">(60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22_</t>
    </r>
    <r>
      <rPr>
        <sz val="9"/>
        <rFont val="DejaVu Sans"/>
        <family val="2"/>
      </rPr>
      <t xml:space="preserve">固定資産の除却取引</t>
    </r>
    <r>
      <rPr>
        <sz val="9"/>
        <rFont val="DejaVu Sans"/>
        <family val="2"/>
        <charset val="1"/>
      </rPr>
      <t xml:space="preserve">_</t>
    </r>
    <r>
      <rPr>
        <sz val="9"/>
        <rFont val="DejaVu Sans"/>
        <family val="2"/>
      </rPr>
      <t xml:space="preserve">成果物（</t>
    </r>
    <r>
      <rPr>
        <sz val="9"/>
        <rFont val="DejaVu Sans"/>
        <family val="2"/>
        <charset val="1"/>
      </rPr>
      <t xml:space="preserve">AWLSol</t>
    </r>
    <r>
      <rPr>
        <sz val="9"/>
        <rFont val="DejaVu Sans"/>
        <family val="2"/>
      </rPr>
      <t xml:space="preserve">）」について、資産ごとの固定資産除却損を記載いただけますでしょうか。 ・資産ごとの固定資産除却損の合計額が試算…」  ▶根拠資料不足</t>
    </r>
    <r>
      <rPr>
        <sz val="9"/>
        <rFont val="DejaVu Sans"/>
        <family val="2"/>
        <charset val="1"/>
      </rPr>
      <t xml:space="preserve">(55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「・除却取引全てについて根拠資料</t>
    </r>
    <r>
      <rPr>
        <sz val="9"/>
        <rFont val="DejaVu Sans"/>
        <family val="2"/>
        <charset val="1"/>
      </rPr>
      <t xml:space="preserve">(</t>
    </r>
    <r>
      <rPr>
        <sz val="9"/>
        <rFont val="DejaVu Sans"/>
        <family val="2"/>
      </rPr>
      <t xml:space="preserve">仕訳伝票だけでなく、例えば、除却申請書や職務権限決裁報告書</t>
    </r>
    <r>
      <rPr>
        <sz val="9"/>
        <rFont val="DejaVu Sans"/>
        <family val="2"/>
        <charset val="1"/>
      </rPr>
      <t xml:space="preserve">)</t>
    </r>
    <r>
      <rPr>
        <sz val="9"/>
        <rFont val="DejaVu Sans"/>
        <family val="2"/>
      </rPr>
      <t xml:space="preserve">が提出されていない ・除却売却明細</t>
    </r>
    <r>
      <rPr>
        <sz val="9"/>
        <rFont val="DejaVu Sans"/>
        <family val="2"/>
        <charset val="1"/>
      </rPr>
      <t xml:space="preserve">1</t>
    </r>
    <r>
      <rPr>
        <sz val="9"/>
        <rFont val="DejaVu Sans"/>
        <family val="2"/>
      </rPr>
      <t xml:space="preserve">行ごとの証憑（除却申請書など）を…」  【構成単位固有】計</t>
    </r>
    <r>
      <rPr>
        <sz val="9"/>
        <rFont val="DejaVu Sans"/>
        <family val="2"/>
        <charset val="1"/>
      </rPr>
      <t xml:space="preserve">74</t>
    </r>
    <r>
      <rPr>
        <sz val="9"/>
        <rFont val="DejaVu Sans"/>
        <family val="2"/>
      </rPr>
      <t xml:space="preserve">件  ▶網羅性・試算表不一致</t>
    </r>
    <r>
      <rPr>
        <sz val="9"/>
        <rFont val="DejaVu Sans"/>
        <family val="2"/>
        <charset val="1"/>
      </rPr>
      <t xml:space="preserve">(48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22_</t>
    </r>
    <r>
      <rPr>
        <sz val="9"/>
        <rFont val="DejaVu Sans"/>
        <family val="2"/>
      </rPr>
      <t xml:space="preserve">固定資産の除却取引</t>
    </r>
    <r>
      <rPr>
        <sz val="9"/>
        <rFont val="DejaVu Sans"/>
        <family val="2"/>
        <charset val="1"/>
      </rPr>
      <t xml:space="preserve">_</t>
    </r>
    <r>
      <rPr>
        <sz val="9"/>
        <rFont val="DejaVu Sans"/>
        <family val="2"/>
      </rPr>
      <t xml:space="preserve">成果物（</t>
    </r>
    <r>
      <rPr>
        <sz val="9"/>
        <rFont val="DejaVu Sans"/>
        <family val="2"/>
        <charset val="1"/>
      </rPr>
      <t xml:space="preserve">AWLSol</t>
    </r>
    <r>
      <rPr>
        <sz val="9"/>
        <rFont val="DejaVu Sans"/>
        <family val="2"/>
      </rPr>
      <t xml:space="preserve">）」について、資産ごとの固定資産除却損を記載いただけますでしょうか。 …」  ▶その他</t>
    </r>
    <r>
      <rPr>
        <sz val="9"/>
        <rFont val="DejaVu Sans"/>
        <family val="2"/>
        <charset val="1"/>
      </rPr>
      <t xml:space="preserve">(15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No.120 Follow-up</t>
    </r>
    <r>
      <rPr>
        <sz val="9"/>
        <rFont val="DejaVu Sans"/>
        <family val="2"/>
      </rPr>
      <t xml:space="preserve">： 成果物ファイルは更新されていません。</t>
    </r>
    <r>
      <rPr>
        <sz val="9"/>
        <rFont val="DejaVu Sans"/>
        <family val="2"/>
        <charset val="1"/>
      </rPr>
      <t xml:space="preserve">3</t>
    </r>
    <r>
      <rPr>
        <sz val="9"/>
        <rFont val="DejaVu Sans"/>
        <family val="2"/>
      </rPr>
      <t xml:space="preserve">月単月ではなく、年間分のすべての固定資産除却取…」  ▶根拠資料不足</t>
    </r>
    <r>
      <rPr>
        <sz val="9"/>
        <rFont val="DejaVu Sans"/>
        <family val="2"/>
        <charset val="1"/>
      </rPr>
      <t xml:space="preserve">(8</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「・除却取引全てについて根拠資料</t>
    </r>
    <r>
      <rPr>
        <sz val="9"/>
        <rFont val="DejaVu Sans"/>
        <family val="2"/>
        <charset val="1"/>
      </rPr>
      <t xml:space="preserve">(</t>
    </r>
    <r>
      <rPr>
        <sz val="9"/>
        <rFont val="DejaVu Sans"/>
        <family val="2"/>
      </rPr>
      <t xml:space="preserve">仕訳伝票だけでなく、例えば、除却申請書や職務権限決裁報告書</t>
    </r>
    <r>
      <rPr>
        <sz val="9"/>
        <rFont val="DejaVu Sans"/>
        <family val="2"/>
        <charset val="1"/>
      </rPr>
      <t xml:space="preserve">)</t>
    </r>
    <r>
      <rPr>
        <sz val="9"/>
        <rFont val="DejaVu Sans"/>
        <family val="2"/>
      </rPr>
      <t xml:space="preserve">が提出されていない ・除却売…」  ▶コメント・説明不足</t>
    </r>
    <r>
      <rPr>
        <sz val="9"/>
        <rFont val="DejaVu Sans"/>
        <family val="2"/>
        <charset val="1"/>
      </rPr>
      <t xml:space="preserve">(3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No.111</t>
    </r>
    <r>
      <rPr>
        <sz val="9"/>
        <rFont val="DejaVu Sans"/>
        <family val="2"/>
      </rPr>
      <t xml:space="preserve">でのご対応ありがとうございました。 年間分の固定資産除却取引の記載が必要ですので、成果物の更新をお願いいたし…」</t>
    </r>
  </si>
  <si>
    <r>
      <rPr>
        <sz val="9"/>
        <rFont val="DejaVu Sans"/>
        <family val="2"/>
      </rPr>
      <t xml:space="preserve">レビュー指針 </t>
    </r>
    <r>
      <rPr>
        <sz val="9"/>
        <rFont val="DejaVu Sans"/>
        <family val="2"/>
        <charset val="1"/>
      </rPr>
      <t xml:space="preserve">No.22</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</si>
  <si>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22-002</t>
  </si>
  <si>
    <r>
      <rPr>
        <sz val="9"/>
        <rFont val="DejaVu Sans"/>
        <family val="2"/>
      </rPr>
      <t xml:space="preserve">計</t>
    </r>
    <r>
      <rPr>
        <sz val="9"/>
        <rFont val="DejaVu Sans"/>
        <family val="2"/>
        <charset val="1"/>
      </rPr>
      <t xml:space="preserve">148</t>
    </r>
    <r>
      <rPr>
        <sz val="9"/>
        <rFont val="DejaVu Sans"/>
        <family val="2"/>
      </rPr>
      <t xml:space="preserve">件指摘  ▶網羅性・試算表不一致</t>
    </r>
    <r>
      <rPr>
        <sz val="9"/>
        <rFont val="DejaVu Sans"/>
        <family val="2"/>
        <charset val="1"/>
      </rPr>
      <t xml:space="preserve">(60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22_</t>
    </r>
    <r>
      <rPr>
        <sz val="9"/>
        <rFont val="DejaVu Sans"/>
        <family val="2"/>
      </rPr>
      <t xml:space="preserve">固定資産の除却取引</t>
    </r>
    <r>
      <rPr>
        <sz val="9"/>
        <rFont val="DejaVu Sans"/>
        <family val="2"/>
        <charset val="1"/>
      </rPr>
      <t xml:space="preserve">_</t>
    </r>
    <r>
      <rPr>
        <sz val="9"/>
        <rFont val="DejaVu Sans"/>
        <family val="2"/>
      </rPr>
      <t xml:space="preserve">成果物（</t>
    </r>
    <r>
      <rPr>
        <sz val="9"/>
        <rFont val="DejaVu Sans"/>
        <family val="2"/>
        <charset val="1"/>
      </rPr>
      <t xml:space="preserve">AWLSol</t>
    </r>
    <r>
      <rPr>
        <sz val="9"/>
        <rFont val="DejaVu Sans"/>
        <family val="2"/>
      </rPr>
      <t xml:space="preserve">）」について、資産ごとの固定資産除却損を記載いただけますでしょうか。 ・資産ごとの固定資産除却損の合計額が試算…」  ▶根拠資料不足</t>
    </r>
    <r>
      <rPr>
        <sz val="9"/>
        <rFont val="DejaVu Sans"/>
        <family val="2"/>
        <charset val="1"/>
      </rPr>
      <t xml:space="preserve">(55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「・除却取引全てについて根拠資料</t>
    </r>
    <r>
      <rPr>
        <sz val="9"/>
        <rFont val="DejaVu Sans"/>
        <family val="2"/>
        <charset val="1"/>
      </rPr>
      <t xml:space="preserve">(</t>
    </r>
    <r>
      <rPr>
        <sz val="9"/>
        <rFont val="DejaVu Sans"/>
        <family val="2"/>
      </rPr>
      <t xml:space="preserve">仕訳伝票だけでなく、例えば、除却申請書や職務権限決裁報告書</t>
    </r>
    <r>
      <rPr>
        <sz val="9"/>
        <rFont val="DejaVu Sans"/>
        <family val="2"/>
        <charset val="1"/>
      </rPr>
      <t xml:space="preserve">)</t>
    </r>
    <r>
      <rPr>
        <sz val="9"/>
        <rFont val="DejaVu Sans"/>
        <family val="2"/>
      </rPr>
      <t xml:space="preserve">が提出されていない ・除却売却明細</t>
    </r>
    <r>
      <rPr>
        <sz val="9"/>
        <rFont val="DejaVu Sans"/>
        <family val="2"/>
        <charset val="1"/>
      </rPr>
      <t xml:space="preserve">1</t>
    </r>
    <r>
      <rPr>
        <sz val="9"/>
        <rFont val="DejaVu Sans"/>
        <family val="2"/>
      </rPr>
      <t xml:space="preserve">行ごとの証憑（除却申請書など）を…」</t>
    </r>
  </si>
  <si>
    <t xml:space="preserve">22-003</t>
  </si>
  <si>
    <r>
      <rPr>
        <sz val="9"/>
        <rFont val="DejaVu Sans"/>
        <family val="2"/>
      </rPr>
      <t xml:space="preserve">除却取引全てについて根拠資料</t>
    </r>
    <r>
      <rPr>
        <sz val="9"/>
        <rFont val="DejaVu Sans"/>
        <family val="2"/>
        <charset val="1"/>
      </rPr>
      <t xml:space="preserve">(</t>
    </r>
    <r>
      <rPr>
        <sz val="9"/>
        <rFont val="DejaVu Sans"/>
        <family val="2"/>
      </rPr>
      <t xml:space="preserve">仕訳伝票だけでなく、例えば、除却申請書や職務権限決裁報告書</t>
    </r>
    <r>
      <rPr>
        <sz val="9"/>
        <rFont val="DejaVu Sans"/>
        <family val="2"/>
        <charset val="1"/>
      </rPr>
      <t xml:space="preserve">)</t>
    </r>
    <r>
      <rPr>
        <sz val="9"/>
        <rFont val="DejaVu Sans"/>
        <family val="2"/>
      </rPr>
      <t xml:space="preserve">が提出されている</t>
    </r>
  </si>
  <si>
    <t xml:space="preserve">22-004</t>
  </si>
  <si>
    <t xml:space="preserve">根拠資料に基づき、適切な時期に会計上の除却処理がされている</t>
  </si>
  <si>
    <t xml:space="preserve">23-001</t>
  </si>
  <si>
    <r>
      <rPr>
        <sz val="9"/>
        <rFont val="DejaVu Sans"/>
        <family val="2"/>
      </rPr>
      <t xml:space="preserve">計</t>
    </r>
    <r>
      <rPr>
        <sz val="9"/>
        <rFont val="DejaVu Sans"/>
        <family val="2"/>
        <charset val="1"/>
      </rPr>
      <t xml:space="preserve">139</t>
    </r>
    <r>
      <rPr>
        <sz val="9"/>
        <rFont val="DejaVu Sans"/>
        <family val="2"/>
      </rPr>
      <t xml:space="preserve">件指摘  ▶網羅性・試算表不一致</t>
    </r>
    <r>
      <rPr>
        <sz val="9"/>
        <rFont val="DejaVu Sans"/>
        <family val="2"/>
        <charset val="1"/>
      </rPr>
      <t xml:space="preserve">(74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「・試算表との一致が確認できる資料（一致の記載</t>
    </r>
    <r>
      <rPr>
        <sz val="9"/>
        <rFont val="DejaVu Sans"/>
        <family val="2"/>
        <charset val="1"/>
      </rPr>
      <t xml:space="preserve">/</t>
    </r>
    <r>
      <rPr>
        <sz val="9"/>
        <rFont val="DejaVu Sans"/>
        <family val="2"/>
      </rPr>
      <t xml:space="preserve">画面コピー）をお願いします ・固定資産台帳の抽出条件が分かる資料（画面コピーなど）の送付をお願いします ・「自主点…」  ▶根拠資料不足</t>
    </r>
    <r>
      <rPr>
        <sz val="9"/>
        <rFont val="DejaVu Sans"/>
        <family val="2"/>
        <charset val="1"/>
      </rPr>
      <t xml:space="preserve">(37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「車両運搬具で計上している「ボデー修理一式」について、資産計上の根拠となる追加証憑（稟議等で修理内容を説明されているものなど）のご提供をお願いいたします。 なお、…」  【構成単位固有】計</t>
    </r>
    <r>
      <rPr>
        <sz val="9"/>
        <rFont val="DejaVu Sans"/>
        <family val="2"/>
        <charset val="1"/>
      </rPr>
      <t xml:space="preserve">64</t>
    </r>
    <r>
      <rPr>
        <sz val="9"/>
        <rFont val="DejaVu Sans"/>
        <family val="2"/>
      </rPr>
      <t xml:space="preserve">件  ▶網羅性・試算表不一致</t>
    </r>
    <r>
      <rPr>
        <sz val="9"/>
        <rFont val="DejaVu Sans"/>
        <family val="2"/>
        <charset val="1"/>
      </rPr>
      <t xml:space="preserve">(52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「・試算表との一致が確認できる資料（一致の記載</t>
    </r>
    <r>
      <rPr>
        <sz val="9"/>
        <rFont val="DejaVu Sans"/>
        <family val="2"/>
        <charset val="1"/>
      </rPr>
      <t xml:space="preserve">/</t>
    </r>
    <r>
      <rPr>
        <sz val="9"/>
        <rFont val="DejaVu Sans"/>
        <family val="2"/>
      </rPr>
      <t xml:space="preserve">画面コピー）をお願いします ・固定資産台帳の抽出条件が分かる資料（画面コピ…」  ▶その他</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「・固定資産実査表に修繕費や研究費に該当する可能性のある資産にフラグ建てをお願いします」  ▶根拠資料不足</t>
    </r>
    <r>
      <rPr>
        <sz val="9"/>
        <rFont val="DejaVu Sans"/>
        <family val="2"/>
        <charset val="1"/>
      </rPr>
      <t xml:space="preserve">(2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(ja):</t>
    </r>
    <r>
      <rPr>
        <sz val="9"/>
        <rFont val="DejaVu Sans"/>
        <family val="2"/>
      </rPr>
      <t xml:space="preserve">【</t>
    </r>
    <r>
      <rPr>
        <sz val="9"/>
        <rFont val="DejaVu Sans"/>
        <family val="2"/>
        <charset val="1"/>
      </rPr>
      <t xml:space="preserve">Supporting Working_Repairs &amp; R &amp; D.xlsx </t>
    </r>
    <r>
      <rPr>
        <sz val="9"/>
        <rFont val="DejaVu Sans"/>
        <family val="2"/>
      </rPr>
      <t xml:space="preserve">の取扱いについて】 現状、「…」  ▶コメント・説明不足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「・修繕費や研究費の費用計上すべき内容を</t>
    </r>
    <r>
      <rPr>
        <sz val="9"/>
        <rFont val="DejaVu Sans"/>
        <family val="2"/>
        <charset val="1"/>
      </rPr>
      <t xml:space="preserve">1</t>
    </r>
    <r>
      <rPr>
        <sz val="9"/>
        <rFont val="DejaVu Sans"/>
        <family val="2"/>
      </rPr>
      <t xml:space="preserve">枚の表にまとめて記載してフラグ付けしてください。該当項目には資産形状の妥当性につ…」</t>
    </r>
  </si>
  <si>
    <r>
      <rPr>
        <sz val="9"/>
        <rFont val="DejaVu Sans"/>
        <family val="2"/>
      </rPr>
      <t xml:space="preserve">レビュー指針 </t>
    </r>
    <r>
      <rPr>
        <sz val="9"/>
        <rFont val="DejaVu Sans"/>
        <family val="2"/>
        <charset val="1"/>
      </rPr>
      <t xml:space="preserve">No.23</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</si>
  <si>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23-002</t>
  </si>
  <si>
    <r>
      <rPr>
        <sz val="9"/>
        <rFont val="DejaVu Sans"/>
        <family val="2"/>
      </rPr>
      <t xml:space="preserve">計</t>
    </r>
    <r>
      <rPr>
        <sz val="9"/>
        <rFont val="DejaVu Sans"/>
        <family val="2"/>
        <charset val="1"/>
      </rPr>
      <t xml:space="preserve">139</t>
    </r>
    <r>
      <rPr>
        <sz val="9"/>
        <rFont val="DejaVu Sans"/>
        <family val="2"/>
      </rPr>
      <t xml:space="preserve">件指摘  ▶網羅性・試算表不一致</t>
    </r>
    <r>
      <rPr>
        <sz val="9"/>
        <rFont val="DejaVu Sans"/>
        <family val="2"/>
        <charset val="1"/>
      </rPr>
      <t xml:space="preserve">(74</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「・試算表との一致が確認できる資料（一致の記載</t>
    </r>
    <r>
      <rPr>
        <sz val="9"/>
        <rFont val="DejaVu Sans"/>
        <family val="2"/>
        <charset val="1"/>
      </rPr>
      <t xml:space="preserve">/</t>
    </r>
    <r>
      <rPr>
        <sz val="9"/>
        <rFont val="DejaVu Sans"/>
        <family val="2"/>
      </rPr>
      <t xml:space="preserve">画面コピー）をお願いします ・固定資産台帳の抽出条件が分かる資料（画面コピーなど）の送付をお願いします ・「自主点…」  ▶根拠資料不足</t>
    </r>
    <r>
      <rPr>
        <sz val="9"/>
        <rFont val="DejaVu Sans"/>
        <family val="2"/>
        <charset val="1"/>
      </rPr>
      <t xml:space="preserve">(37</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「車両運搬具で計上している「ボデー修理一式」について、資産計上の根拠となる追加証憑（稟議等で修理内容を説明されているものなど）のご提供をお願いいたします。 なお、…」</t>
    </r>
  </si>
  <si>
    <t xml:space="preserve">23-003</t>
  </si>
  <si>
    <t xml:space="preserve">修繕費や研究費等の費用計上すべき内容が固定資産計上されている可能性がある明細にフラグが付けられており、資産計上の妥当性に関するコメントが記載されている</t>
  </si>
  <si>
    <t xml:space="preserve">23-004</t>
  </si>
  <si>
    <t xml:space="preserve">フラグが付された明細の固定資産計上に関する合理的な説明がされているか</t>
  </si>
  <si>
    <t xml:space="preserve">24-001</t>
  </si>
  <si>
    <r>
      <rPr>
        <sz val="9"/>
        <rFont val="DejaVu Sans"/>
        <family val="2"/>
      </rPr>
      <t xml:space="preserve">計</t>
    </r>
    <r>
      <rPr>
        <sz val="9"/>
        <rFont val="DejaVu Sans"/>
        <family val="2"/>
        <charset val="1"/>
      </rPr>
      <t xml:space="preserve">1</t>
    </r>
    <r>
      <rPr>
        <sz val="9"/>
        <rFont val="DejaVu Sans"/>
        <family val="2"/>
      </rPr>
      <t xml:space="preserve">件指摘  ▶根拠資料不足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25</t>
    </r>
    <r>
      <rPr>
        <sz val="9"/>
        <rFont val="DejaVu Sans"/>
        <family val="2"/>
      </rPr>
      <t xml:space="preserve">年</t>
    </r>
    <r>
      <rPr>
        <sz val="9"/>
        <rFont val="DejaVu Sans"/>
        <family val="2"/>
        <charset val="1"/>
      </rPr>
      <t xml:space="preserve">7</t>
    </r>
    <r>
      <rPr>
        <sz val="9"/>
        <rFont val="DejaVu Sans"/>
        <family val="2"/>
      </rPr>
      <t xml:space="preserve">月支払い額と引当減資</t>
    </r>
    <r>
      <rPr>
        <sz val="9"/>
        <rFont val="DejaVu Sans"/>
        <family val="2"/>
        <charset val="1"/>
      </rPr>
      <t xml:space="preserve">(2503</t>
    </r>
    <r>
      <rPr>
        <sz val="9"/>
        <rFont val="DejaVu Sans"/>
        <family val="2"/>
      </rPr>
      <t xml:space="preserve">時引当金</t>
    </r>
    <r>
      <rPr>
        <sz val="9"/>
        <rFont val="DejaVu Sans"/>
        <family val="2"/>
        <charset val="1"/>
      </rPr>
      <t xml:space="preserve">)</t>
    </r>
    <r>
      <rPr>
        <sz val="9"/>
        <rFont val="DejaVu Sans"/>
        <family val="2"/>
      </rPr>
      <t xml:space="preserve">の差異の金額および差異が生じた要因についてコメントが記載されていませんでしたので、記載をお願いできますでしょう…」</t>
    </r>
  </si>
  <si>
    <t xml:space="preserve">24-002</t>
  </si>
  <si>
    <t xml:space="preserve">「資産除去債務に関するアンケート」（エクセル）の全設問（質問Ⅰ〜Ⅳ）が記入・提出されている</t>
  </si>
  <si>
    <t xml:space="preserve">24-003</t>
  </si>
  <si>
    <t xml:space="preserve">アンケート記載の必要添付資料（賃貸借契約書・固定資産台帳等）が漏れなく提出されている</t>
  </si>
  <si>
    <t xml:space="preserve">24-004</t>
  </si>
  <si>
    <t xml:space="preserve">資産除去債務の計上要否の判断が証憑（賃貸借契約書・過去の固定資産除却損実績等）に基づき整理されている</t>
  </si>
  <si>
    <t xml:space="preserve">24-005</t>
  </si>
  <si>
    <t xml:space="preserve">計上すべき資産除去債務が漏れなく計上されており計上金額と見積根拠が整合している（差異がある場合は要因説明あり）</t>
  </si>
  <si>
    <t xml:space="preserve">25-001</t>
  </si>
  <si>
    <r>
      <rPr>
        <sz val="9"/>
        <rFont val="DejaVu Sans"/>
        <family val="2"/>
      </rPr>
      <t xml:space="preserve">計</t>
    </r>
    <r>
      <rPr>
        <sz val="9"/>
        <rFont val="DejaVu Sans"/>
        <family val="2"/>
        <charset val="1"/>
      </rPr>
      <t xml:space="preserve">169</t>
    </r>
    <r>
      <rPr>
        <sz val="9"/>
        <rFont val="DejaVu Sans"/>
        <family val="2"/>
      </rPr>
      <t xml:space="preserve">件指摘  ▶網羅性・試算表不一致</t>
    </r>
    <r>
      <rPr>
        <sz val="9"/>
        <rFont val="DejaVu Sans"/>
        <family val="2"/>
        <charset val="1"/>
      </rPr>
      <t xml:space="preserve">(65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3</t>
    </r>
    <r>
      <rPr>
        <sz val="9"/>
        <rFont val="DejaVu Sans"/>
        <family val="2"/>
      </rPr>
      <t xml:space="preserve">月期全社</t>
    </r>
    <r>
      <rPr>
        <sz val="9"/>
        <rFont val="DejaVu Sans"/>
        <family val="2"/>
        <charset val="1"/>
      </rPr>
      <t xml:space="preserve">TB</t>
    </r>
    <r>
      <rPr>
        <sz val="9"/>
        <rFont val="DejaVu Sans"/>
        <family val="2"/>
      </rPr>
      <t xml:space="preserve">の営業損益の一致が確認できる情報や資料のご提出をお願いします。…」  ▶根拠資料不足</t>
    </r>
    <r>
      <rPr>
        <sz val="9"/>
        <rFont val="DejaVu Sans"/>
        <family val="2"/>
        <charset val="1"/>
      </rPr>
      <t xml:space="preserve">(45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3</t>
    </r>
    <r>
      <rPr>
        <sz val="9"/>
        <rFont val="DejaVu Sans"/>
        <family val="2"/>
      </rPr>
      <t xml:space="preserve">月期全社</t>
    </r>
    <r>
      <rPr>
        <sz val="9"/>
        <rFont val="DejaVu Sans"/>
        <family val="2"/>
        <charset val="1"/>
      </rPr>
      <t xml:space="preserve">TB</t>
    </r>
    <r>
      <rPr>
        <sz val="9"/>
        <rFont val="DejaVu Sans"/>
        <family val="2"/>
      </rPr>
      <t xml:space="preserve">の営業損益との一致が確認できる資料の送付をお願いします。…」  【構成単位固有】計</t>
    </r>
    <r>
      <rPr>
        <sz val="9"/>
        <rFont val="DejaVu Sans"/>
        <family val="2"/>
        <charset val="1"/>
      </rPr>
      <t xml:space="preserve">108</t>
    </r>
    <r>
      <rPr>
        <sz val="9"/>
        <rFont val="DejaVu Sans"/>
        <family val="2"/>
      </rPr>
      <t xml:space="preserve">件  ▶網羅性・試算表不一致</t>
    </r>
    <r>
      <rPr>
        <sz val="9"/>
        <rFont val="DejaVu Sans"/>
        <family val="2"/>
        <charset val="1"/>
      </rPr>
      <t xml:space="preserve">(45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3</t>
    </r>
    <r>
      <rPr>
        <sz val="9"/>
        <rFont val="DejaVu Sans"/>
        <family val="2"/>
      </rPr>
      <t xml:space="preserve">月期全社</t>
    </r>
    <r>
      <rPr>
        <sz val="9"/>
        <rFont val="DejaVu Sans"/>
        <family val="2"/>
        <charset val="1"/>
      </rPr>
      <t xml:space="preserve">TB</t>
    </r>
    <r>
      <rPr>
        <sz val="9"/>
        <rFont val="DejaVu Sans"/>
        <family val="2"/>
      </rPr>
      <t xml:space="preserve">の営業損益の一致が確認できる情報や資料のご提出をお願いします。」  ▶コメント・説明不足</t>
    </r>
    <r>
      <rPr>
        <sz val="9"/>
        <rFont val="DejaVu Sans"/>
        <family val="2"/>
        <charset val="1"/>
      </rPr>
      <t xml:space="preserve">(33</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「提出頂いた減損判定資料について、 ・検討基準日が</t>
    </r>
    <r>
      <rPr>
        <sz val="9"/>
        <rFont val="DejaVu Sans"/>
        <family val="2"/>
        <charset val="1"/>
      </rPr>
      <t xml:space="preserve">2025</t>
    </r>
    <r>
      <rPr>
        <sz val="9"/>
        <rFont val="DejaVu Sans"/>
        <family val="2"/>
      </rPr>
      <t xml:space="preserve">年</t>
    </r>
    <r>
      <rPr>
        <sz val="9"/>
        <rFont val="DejaVu Sans"/>
        <family val="2"/>
        <charset val="1"/>
      </rPr>
      <t xml:space="preserve">9</t>
    </r>
    <r>
      <rPr>
        <sz val="9"/>
        <rFont val="DejaVu Sans"/>
        <family val="2"/>
      </rPr>
      <t xml:space="preserve">月末の資料をご提出頂いているかと思いますが、今回</t>
    </r>
    <r>
      <rPr>
        <sz val="9"/>
        <rFont val="DejaVu Sans"/>
        <family val="2"/>
        <charset val="1"/>
      </rPr>
      <t xml:space="preserve">2026</t>
    </r>
    <r>
      <rPr>
        <sz val="9"/>
        <rFont val="DejaVu Sans"/>
        <family val="2"/>
      </rPr>
      <t xml:space="preserve">年</t>
    </r>
    <r>
      <rPr>
        <sz val="9"/>
        <rFont val="DejaVu Sans"/>
        <family val="2"/>
        <charset val="1"/>
      </rPr>
      <t xml:space="preserve">3…</t>
    </r>
    <r>
      <rPr>
        <sz val="9"/>
        <rFont val="DejaVu Sans"/>
        <family val="2"/>
      </rPr>
      <t xml:space="preserve">」  ▶その他</t>
    </r>
    <r>
      <rPr>
        <sz val="9"/>
        <rFont val="DejaVu Sans"/>
        <family val="2"/>
        <charset val="1"/>
      </rPr>
      <t xml:space="preserve">(20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「・データソースと抽出条件（手順）の記録が成果物として提出されていない …数値のバックデータ（割引率、成長率、事業計画、事…」  ▶根拠資料不足</t>
    </r>
    <r>
      <rPr>
        <sz val="9"/>
        <rFont val="DejaVu Sans"/>
        <family val="2"/>
        <charset val="1"/>
      </rPr>
      <t xml:space="preserve">(10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「ワークシートに入力されている土地・土地の固定資産税評価額・有形固定資産・無形資産の金額、前々期、前期、当期の営業損益の入…」</t>
    </r>
  </si>
  <si>
    <r>
      <rPr>
        <sz val="9"/>
        <rFont val="DejaVu Sans"/>
        <family val="2"/>
      </rPr>
      <t xml:space="preserve">レビュー指針 </t>
    </r>
    <r>
      <rPr>
        <sz val="9"/>
        <rFont val="DejaVu Sans"/>
        <family val="2"/>
        <charset val="1"/>
      </rPr>
      <t xml:space="preserve">No.25</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</si>
  <si>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25-002</t>
  </si>
  <si>
    <r>
      <rPr>
        <sz val="9"/>
        <rFont val="DejaVu Sans"/>
        <family val="2"/>
      </rPr>
      <t xml:space="preserve">計</t>
    </r>
    <r>
      <rPr>
        <sz val="9"/>
        <rFont val="DejaVu Sans"/>
        <family val="2"/>
        <charset val="1"/>
      </rPr>
      <t xml:space="preserve">169</t>
    </r>
    <r>
      <rPr>
        <sz val="9"/>
        <rFont val="DejaVu Sans"/>
        <family val="2"/>
      </rPr>
      <t xml:space="preserve">件指摘  ▶網羅性・試算表不一致</t>
    </r>
    <r>
      <rPr>
        <sz val="9"/>
        <rFont val="DejaVu Sans"/>
        <family val="2"/>
        <charset val="1"/>
      </rPr>
      <t xml:space="preserve">(65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3</t>
    </r>
    <r>
      <rPr>
        <sz val="9"/>
        <rFont val="DejaVu Sans"/>
        <family val="2"/>
      </rPr>
      <t xml:space="preserve">月期全社</t>
    </r>
    <r>
      <rPr>
        <sz val="9"/>
        <rFont val="DejaVu Sans"/>
        <family val="2"/>
        <charset val="1"/>
      </rPr>
      <t xml:space="preserve">TB</t>
    </r>
    <r>
      <rPr>
        <sz val="9"/>
        <rFont val="DejaVu Sans"/>
        <family val="2"/>
      </rPr>
      <t xml:space="preserve">の営業損益の一致が確認できる情報や資料のご提出をお願いします。…」  ▶根拠資料不足</t>
    </r>
    <r>
      <rPr>
        <sz val="9"/>
        <rFont val="DejaVu Sans"/>
        <family val="2"/>
        <charset val="1"/>
      </rPr>
      <t xml:space="preserve">(45</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2025</t>
    </r>
    <r>
      <rPr>
        <sz val="9"/>
        <rFont val="DejaVu Sans"/>
        <family val="2"/>
      </rPr>
      <t xml:space="preserve">年</t>
    </r>
    <r>
      <rPr>
        <sz val="9"/>
        <rFont val="DejaVu Sans"/>
        <family val="2"/>
        <charset val="1"/>
      </rPr>
      <t xml:space="preserve">3</t>
    </r>
    <r>
      <rPr>
        <sz val="9"/>
        <rFont val="DejaVu Sans"/>
        <family val="2"/>
      </rPr>
      <t xml:space="preserve">月期全社</t>
    </r>
    <r>
      <rPr>
        <sz val="9"/>
        <rFont val="DejaVu Sans"/>
        <family val="2"/>
        <charset val="1"/>
      </rPr>
      <t xml:space="preserve">TB</t>
    </r>
    <r>
      <rPr>
        <sz val="9"/>
        <rFont val="DejaVu Sans"/>
        <family val="2"/>
      </rPr>
      <t xml:space="preserve">の営業損益との一致が確認できる資料の送付をお願いします。…」</t>
    </r>
  </si>
  <si>
    <t xml:space="preserve">25-003</t>
  </si>
  <si>
    <r>
      <rPr>
        <sz val="9"/>
        <rFont val="DejaVu Sans"/>
        <family val="2"/>
      </rPr>
      <t xml:space="preserve">減損の兆候に抵触する</t>
    </r>
    <r>
      <rPr>
        <sz val="9"/>
        <rFont val="DejaVu Sans"/>
        <family val="2"/>
        <charset val="1"/>
      </rPr>
      <t xml:space="preserve">CGU</t>
    </r>
    <r>
      <rPr>
        <sz val="9"/>
        <rFont val="DejaVu Sans"/>
        <family val="2"/>
      </rPr>
      <t xml:space="preserve">について、割引前将来</t>
    </r>
    <r>
      <rPr>
        <sz val="9"/>
        <rFont val="DejaVu Sans"/>
        <family val="2"/>
        <charset val="1"/>
      </rPr>
      <t xml:space="preserve">CF</t>
    </r>
    <r>
      <rPr>
        <sz val="9"/>
        <rFont val="DejaVu Sans"/>
        <family val="2"/>
      </rPr>
      <t xml:space="preserve">だけでなく割引後将来</t>
    </r>
    <r>
      <rPr>
        <sz val="9"/>
        <rFont val="DejaVu Sans"/>
        <family val="2"/>
        <charset val="1"/>
      </rPr>
      <t xml:space="preserve">CF</t>
    </r>
    <r>
      <rPr>
        <sz val="9"/>
        <rFont val="DejaVu Sans"/>
        <family val="2"/>
      </rPr>
      <t xml:space="preserve">に基づく減損計上要否の検討がなされているか</t>
    </r>
  </si>
  <si>
    <t xml:space="preserve">25-004</t>
  </si>
  <si>
    <r>
      <rPr>
        <sz val="9"/>
        <rFont val="DejaVu Sans"/>
        <family val="2"/>
      </rPr>
      <t xml:space="preserve">減損の兆候に抵触する</t>
    </r>
    <r>
      <rPr>
        <sz val="9"/>
        <rFont val="DejaVu Sans"/>
        <family val="2"/>
        <charset val="1"/>
      </rPr>
      <t xml:space="preserve">CGU</t>
    </r>
    <r>
      <rPr>
        <sz val="9"/>
        <rFont val="DejaVu Sans"/>
        <family val="2"/>
      </rPr>
      <t xml:space="preserve">について、どのような考えでグルーピングを行っているのかについて記述されているか</t>
    </r>
  </si>
  <si>
    <t xml:space="preserve">25-005</t>
  </si>
  <si>
    <t xml:space="preserve">減損検討結果の判断に合理性はあるか</t>
  </si>
  <si>
    <t xml:space="preserve">25-006</t>
  </si>
  <si>
    <t xml:space="preserve">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</si>
  <si>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 xml:space="preserve">26-001</t>
  </si>
  <si>
    <r>
      <rPr>
        <sz val="9"/>
        <rFont val="DejaVu Sans"/>
        <family val="2"/>
      </rPr>
      <t xml:space="preserve">計</t>
    </r>
    <r>
      <rPr>
        <sz val="9"/>
        <rFont val="DejaVu Sans"/>
        <family val="2"/>
        <charset val="1"/>
      </rPr>
      <t xml:space="preserve">193</t>
    </r>
    <r>
      <rPr>
        <sz val="9"/>
        <rFont val="DejaVu Sans"/>
        <family val="2"/>
      </rPr>
      <t xml:space="preserve">件指摘  ▶根拠資料不足</t>
    </r>
    <r>
      <rPr>
        <sz val="9"/>
        <rFont val="DejaVu Sans"/>
        <family val="2"/>
        <charset val="1"/>
      </rPr>
      <t xml:space="preserve">(90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「・賞与引当金を計上する際に、繰入金額の計算資料の送付をお願いします…」  ▶網羅性・試算表不一致</t>
    </r>
    <r>
      <rPr>
        <sz val="9"/>
        <rFont val="DejaVu Sans"/>
        <family val="2"/>
        <charset val="1"/>
      </rPr>
      <t xml:space="preserve">(76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・網羅性が確認できる資料（試算表との一致確認）の送付をお願いします…」  【構成単位固有】計</t>
    </r>
    <r>
      <rPr>
        <sz val="9"/>
        <rFont val="DejaVu Sans"/>
        <family val="2"/>
        <charset val="1"/>
      </rPr>
      <t xml:space="preserve">99</t>
    </r>
    <r>
      <rPr>
        <sz val="9"/>
        <rFont val="DejaVu Sans"/>
        <family val="2"/>
      </rPr>
      <t xml:space="preserve">件  ▶網羅性・試算表不一致</t>
    </r>
    <r>
      <rPr>
        <sz val="9"/>
        <rFont val="DejaVu Sans"/>
        <family val="2"/>
        <charset val="1"/>
      </rPr>
      <t xml:space="preserve">(72</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「・網羅性が確認できる資料（試算表との一致確認）の送付をお願いします」  ▶その他</t>
    </r>
    <r>
      <rPr>
        <sz val="9"/>
        <rFont val="DejaVu Sans"/>
        <family val="2"/>
        <charset val="1"/>
      </rPr>
      <t xml:space="preserve">(20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「取り崩し時に当初計上額と支払額の比較分析資料が提出されていませんでした」  ▶根拠資料不足</t>
    </r>
    <r>
      <rPr>
        <sz val="9"/>
        <rFont val="DejaVu Sans"/>
        <family val="2"/>
        <charset val="1"/>
      </rPr>
      <t xml:space="preserve">(6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「・賞与引当金の計算根拠資料をご提出いただけますでしょうか ・取り崩し時の支払証跡（</t>
    </r>
    <r>
      <rPr>
        <sz val="9"/>
        <rFont val="DejaVu Sans"/>
        <family val="2"/>
        <charset val="1"/>
      </rPr>
      <t xml:space="preserve">2025</t>
    </r>
    <r>
      <rPr>
        <sz val="9"/>
        <rFont val="DejaVu Sans"/>
        <family val="2"/>
      </rPr>
      <t xml:space="preserve">年</t>
    </r>
    <r>
      <rPr>
        <sz val="9"/>
        <rFont val="DejaVu Sans"/>
        <family val="2"/>
        <charset val="1"/>
      </rPr>
      <t xml:space="preserve">6</t>
    </r>
    <r>
      <rPr>
        <sz val="9"/>
        <rFont val="DejaVu Sans"/>
        <family val="2"/>
      </rPr>
      <t xml:space="preserve">月支払、</t>
    </r>
    <r>
      <rPr>
        <sz val="9"/>
        <rFont val="DejaVu Sans"/>
        <family val="2"/>
        <charset val="1"/>
      </rPr>
      <t xml:space="preserve">2025</t>
    </r>
    <r>
      <rPr>
        <sz val="9"/>
        <rFont val="DejaVu Sans"/>
        <family val="2"/>
      </rPr>
      <t xml:space="preserve">年</t>
    </r>
    <r>
      <rPr>
        <sz val="9"/>
        <rFont val="DejaVu Sans"/>
        <family val="2"/>
        <charset val="1"/>
      </rPr>
      <t xml:space="preserve">12</t>
    </r>
    <r>
      <rPr>
        <sz val="9"/>
        <rFont val="DejaVu Sans"/>
        <family val="2"/>
      </rPr>
      <t xml:space="preserve">月支…」  ▶コメント・説明不足</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「・該当ありませんのご回答をいただきましたが、賞与引当金を計上されないの具体的な理由をご教示ください。重要性が低いため計上…」</t>
    </r>
  </si>
  <si>
    <r>
      <rPr>
        <sz val="9"/>
        <rFont val="DejaVu Sans"/>
        <family val="2"/>
      </rPr>
      <t xml:space="preserve">レビュー指針 </t>
    </r>
    <r>
      <rPr>
        <sz val="9"/>
        <rFont val="DejaVu Sans"/>
        <family val="2"/>
        <charset val="1"/>
      </rPr>
      <t xml:space="preserve">No.26</t>
    </r>
    <r>
      <rPr>
        <sz val="9"/>
        <rFont val="DejaVu Sans"/>
        <family val="2"/>
      </rPr>
      <t xml:space="preserve">（</t>
    </r>
    <r>
      <rPr>
        <sz val="9"/>
        <rFont val="DejaVu Sans"/>
        <family val="2"/>
        <charset val="1"/>
      </rPr>
      <t xml:space="preserve">input/</t>
    </r>
    <r>
      <rPr>
        <sz val="9"/>
        <rFont val="DejaVu Sans"/>
        <family val="2"/>
      </rPr>
      <t xml:space="preserve">自主点検</t>
    </r>
    <r>
      <rPr>
        <sz val="9"/>
        <rFont val="DejaVu Sans"/>
        <family val="2"/>
        <charset val="1"/>
      </rPr>
      <t xml:space="preserve">_</t>
    </r>
    <r>
      <rPr>
        <sz val="9"/>
        <rFont val="DejaVu Sans"/>
        <family val="2"/>
      </rPr>
      <t xml:space="preserve">レビュー指針</t>
    </r>
    <r>
      <rPr>
        <sz val="9"/>
        <rFont val="DejaVu Sans"/>
        <family val="2"/>
        <charset val="1"/>
      </rPr>
      <t xml:space="preserve">.xlsx</t>
    </r>
    <r>
      <rPr>
        <sz val="9"/>
        <rFont val="DejaVu Sans"/>
        <family val="2"/>
      </rPr>
      <t xml:space="preserve">）</t>
    </r>
  </si>
  <si>
    <t xml:space="preserve">26-002</t>
  </si>
  <si>
    <r>
      <rPr>
        <sz val="9"/>
        <rFont val="DejaVu Sans"/>
        <family val="2"/>
      </rPr>
      <t xml:space="preserve">賞与引当金繰入額（</t>
    </r>
    <r>
      <rPr>
        <sz val="9"/>
        <rFont val="DejaVu Sans"/>
        <family val="2"/>
        <charset val="1"/>
      </rPr>
      <t xml:space="preserve">PL</t>
    </r>
    <r>
      <rPr>
        <sz val="9"/>
        <rFont val="DejaVu Sans"/>
        <family val="2"/>
      </rPr>
      <t xml:space="preserve">）、賞与引当金（</t>
    </r>
    <r>
      <rPr>
        <sz val="9"/>
        <rFont val="DejaVu Sans"/>
        <family val="2"/>
        <charset val="1"/>
      </rPr>
      <t xml:space="preserve">BS</t>
    </r>
    <r>
      <rPr>
        <sz val="9"/>
        <rFont val="DejaVu Sans"/>
        <family val="2"/>
      </rPr>
      <t xml:space="preserve">）が試算表と一致することが確認できる</t>
    </r>
  </si>
  <si>
    <r>
      <rPr>
        <sz val="9"/>
        <rFont val="DejaVu Sans"/>
        <family val="2"/>
      </rPr>
      <t xml:space="preserve">計</t>
    </r>
    <r>
      <rPr>
        <sz val="9"/>
        <rFont val="DejaVu Sans"/>
        <family val="2"/>
        <charset val="1"/>
      </rPr>
      <t xml:space="preserve">193</t>
    </r>
    <r>
      <rPr>
        <sz val="9"/>
        <rFont val="DejaVu Sans"/>
        <family val="2"/>
      </rPr>
      <t xml:space="preserve">件指摘  ▶根拠資料不足</t>
    </r>
    <r>
      <rPr>
        <sz val="9"/>
        <rFont val="DejaVu Sans"/>
        <family val="2"/>
        <charset val="1"/>
      </rPr>
      <t xml:space="preserve">(90</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「・賞与引当金を計上する際に、繰入金額の計算資料の送付をお願いします…」  ▶網羅性・試算表不一致</t>
    </r>
    <r>
      <rPr>
        <sz val="9"/>
        <rFont val="DejaVu Sans"/>
        <family val="2"/>
        <charset val="1"/>
      </rPr>
      <t xml:space="preserve">(76</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「・データソース及び抽出条件が分かる資料（画面コピーなど）の提出してください ・網羅性が確認できる資料（試算表との一致確認）の送付をお願いします…」</t>
    </r>
  </si>
  <si>
    <t xml:space="preserve">26-003</t>
  </si>
  <si>
    <t xml:space="preserve">取り崩し時に当初計上額と支払額の比較分析資料が提出されている（コメントが記載されている）</t>
  </si>
  <si>
    <t xml:space="preserve">26-004</t>
  </si>
  <si>
    <t xml:space="preserve">賞与引当金が計上されている場合、見積金額の根拠資料が提出されている</t>
  </si>
  <si>
    <t xml:space="preserve">26-005</t>
  </si>
  <si>
    <t xml:space="preserve">賞与引当金が計上されていない場合、理由が記載されている</t>
  </si>
  <si>
    <t xml:space="preserve">26-006</t>
  </si>
  <si>
    <t xml:space="preserve">根拠資料は社内で承認されたものである</t>
  </si>
  <si>
    <t xml:space="preserve">26-007</t>
  </si>
  <si>
    <t xml:space="preserve">賞与引当金の計算は正確に行われている</t>
  </si>
  <si>
    <t xml:space="preserve">26-008</t>
  </si>
  <si>
    <t xml:space="preserve">引当⾦計上額と支払額に乖離がある場合、その要因のコメントは妥当である</t>
  </si>
  <si>
    <t xml:space="preserve">27-001</t>
  </si>
  <si>
    <r>
      <rPr>
        <sz val="9"/>
        <rFont val="DejaVu Sans"/>
        <family val="2"/>
      </rPr>
      <t xml:space="preserve">計</t>
    </r>
    <r>
      <rPr>
        <sz val="9"/>
        <rFont val="DejaVu Sans"/>
        <family val="2"/>
        <charset val="1"/>
      </rPr>
      <t xml:space="preserve">1</t>
    </r>
    <r>
      <rPr>
        <sz val="9"/>
        <rFont val="DejaVu Sans"/>
        <family val="2"/>
      </rPr>
      <t xml:space="preserve">件指摘  ▶網羅性・試算表不一致</t>
    </r>
    <r>
      <rPr>
        <sz val="9"/>
        <rFont val="DejaVu Sans"/>
        <family val="2"/>
        <charset val="1"/>
      </rPr>
      <t xml:space="preserve">(1</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「①月次試算表とワークシート上の数値が照合できませんでした。可能性として、</t>
    </r>
    <r>
      <rPr>
        <sz val="9"/>
        <rFont val="DejaVu Sans"/>
        <family val="2"/>
        <charset val="1"/>
      </rPr>
      <t xml:space="preserve">BS</t>
    </r>
    <r>
      <rPr>
        <sz val="9"/>
        <rFont val="DejaVu Sans"/>
        <family val="2"/>
      </rPr>
      <t xml:space="preserve">賞与引当金は</t>
    </r>
    <r>
      <rPr>
        <sz val="9"/>
        <rFont val="DejaVu Sans"/>
        <family val="2"/>
        <charset val="1"/>
      </rPr>
      <t xml:space="preserve">1</t>
    </r>
    <r>
      <rPr>
        <sz val="9"/>
        <rFont val="DejaVu Sans"/>
        <family val="2"/>
      </rPr>
      <t xml:space="preserve">月ずれが生じており、</t>
    </r>
    <r>
      <rPr>
        <sz val="9"/>
        <rFont val="DejaVu Sans"/>
        <family val="2"/>
        <charset val="1"/>
      </rPr>
      <t xml:space="preserve">PL</t>
    </r>
    <r>
      <rPr>
        <sz val="9"/>
        <rFont val="DejaVu Sans"/>
        <family val="2"/>
      </rPr>
      <t xml:space="preserve">賞与引当金繰入額は他の勘定科目との入繰りが生じ…」</t>
    </r>
  </si>
  <si>
    <t xml:space="preserve">27-002</t>
  </si>
  <si>
    <r>
      <rPr>
        <sz val="9"/>
        <rFont val="DejaVu Sans"/>
        <family val="2"/>
      </rPr>
      <t xml:space="preserve">第一次チェック項目（</t>
    </r>
    <r>
      <rPr>
        <sz val="9"/>
        <rFont val="DejaVu Sans"/>
        <family val="2"/>
        <charset val="1"/>
      </rPr>
      <t xml:space="preserve">3</t>
    </r>
    <r>
      <rPr>
        <sz val="9"/>
        <rFont val="DejaVu Sans"/>
        <family val="2"/>
      </rPr>
      <t xml:space="preserve">月末データ）および第二次チェック項目（</t>
    </r>
    <r>
      <rPr>
        <sz val="9"/>
        <rFont val="DejaVu Sans"/>
        <family val="2"/>
        <charset val="1"/>
      </rPr>
      <t xml:space="preserve">4</t>
    </r>
    <r>
      <rPr>
        <sz val="9"/>
        <rFont val="DejaVu Sans"/>
        <family val="2"/>
      </rPr>
      <t xml:space="preserve">月データ）がともに記入・提出されている</t>
    </r>
  </si>
  <si>
    <t xml:space="preserve">27-003</t>
  </si>
  <si>
    <r>
      <rPr>
        <sz val="9"/>
        <rFont val="DejaVu Sans"/>
        <family val="2"/>
      </rPr>
      <t xml:space="preserve">チェックリストの自己評価が</t>
    </r>
    <r>
      <rPr>
        <sz val="9"/>
        <rFont val="DejaVu Sans"/>
        <family val="2"/>
        <charset val="1"/>
      </rPr>
      <t xml:space="preserve">No.1</t>
    </r>
    <r>
      <rPr>
        <sz val="9"/>
        <rFont val="DejaVu Sans"/>
        <family val="2"/>
      </rPr>
      <t xml:space="preserve">〜</t>
    </r>
    <r>
      <rPr>
        <sz val="9"/>
        <rFont val="DejaVu Sans"/>
        <family val="2"/>
        <charset val="1"/>
      </rPr>
      <t xml:space="preserve">No.26</t>
    </r>
    <r>
      <rPr>
        <sz val="9"/>
        <rFont val="DejaVu Sans"/>
        <family val="2"/>
      </rPr>
      <t xml:space="preserve">の各点検項目の実施結果と整合している（各論点の結論が記載されている）</t>
    </r>
  </si>
  <si>
    <t xml:space="preserve">27-004</t>
  </si>
  <si>
    <t xml:space="preserve">チェックリストに対する社内承認（上席者または責任者）が記録されている</t>
  </si>
  <si>
    <t xml:space="preserve">27-005</t>
  </si>
  <si>
    <t xml:space="preserve">内部統制全般（訂正仕訳の方法統一・起票承認分離・システム外修正禁止）に関する設問への回答が実態に基づき具体的に記載されている</t>
  </si>
  <si>
    <t xml:space="preserve">27-006</t>
  </si>
  <si>
    <t xml:space="preserve">ガバナンス・牽制（内部通報制度の周知・自主点検結果の社内承認）に関する設問への回答が記載されている</t>
  </si>
  <si>
    <t xml:space="preserve">27-007</t>
  </si>
  <si>
    <t xml:space="preserve">チェックリスト回答と宣誓書の内容が矛盾しておらず宣誓書へのサイン準備が整っている</t>
  </si>
  <si>
    <t xml:space="preserve">28-001</t>
  </si>
  <si>
    <r>
      <rPr>
        <sz val="9"/>
        <rFont val="DejaVu Sans"/>
        <family val="2"/>
      </rPr>
      <t xml:space="preserve">計</t>
    </r>
    <r>
      <rPr>
        <sz val="9"/>
        <rFont val="DejaVu Sans"/>
        <family val="2"/>
        <charset val="1"/>
      </rPr>
      <t xml:space="preserve">9</t>
    </r>
    <r>
      <rPr>
        <sz val="9"/>
        <rFont val="DejaVu Sans"/>
        <family val="2"/>
      </rPr>
      <t xml:space="preserve">件指摘  ▶増減コメント不整合</t>
    </r>
    <r>
      <rPr>
        <sz val="9"/>
        <rFont val="DejaVu Sans"/>
        <family val="2"/>
        <charset val="1"/>
      </rPr>
      <t xml:space="preserve">(9</t>
    </r>
    <r>
      <rPr>
        <sz val="9"/>
        <rFont val="DejaVu Sans"/>
        <family val="2"/>
      </rPr>
      <t xml:space="preserve">件</t>
    </r>
    <r>
      <rPr>
        <sz val="9"/>
        <rFont val="DejaVu Sans"/>
        <family val="2"/>
        <charset val="1"/>
      </rPr>
      <t xml:space="preserve">): </t>
    </r>
    <r>
      <rPr>
        <sz val="9"/>
        <rFont val="DejaVu Sans"/>
        <family val="2"/>
      </rPr>
      <t xml:space="preserve">例</t>
    </r>
    <r>
      <rPr>
        <sz val="9"/>
        <rFont val="DejaVu Sans"/>
        <family val="2"/>
        <charset val="1"/>
      </rPr>
      <t xml:space="preserve">)</t>
    </r>
    <r>
      <rPr>
        <sz val="9"/>
        <rFont val="DejaVu Sans"/>
        <family val="2"/>
      </rPr>
      <t xml:space="preserve">「</t>
    </r>
    <r>
      <rPr>
        <sz val="9"/>
        <rFont val="DejaVu Sans"/>
        <family val="2"/>
        <charset val="1"/>
      </rPr>
      <t xml:space="preserve">(No.28_</t>
    </r>
    <r>
      <rPr>
        <sz val="9"/>
        <rFont val="DejaVu Sans"/>
        <family val="2"/>
      </rPr>
      <t xml:space="preserve">財務分析が対象外の会社様におかれましては、連結</t>
    </r>
    <r>
      <rPr>
        <sz val="9"/>
        <rFont val="DejaVu Sans"/>
        <family val="2"/>
        <charset val="1"/>
      </rPr>
      <t xml:space="preserve">PKG</t>
    </r>
    <r>
      <rPr>
        <sz val="9"/>
        <rFont val="DejaVu Sans"/>
        <family val="2"/>
      </rPr>
      <t xml:space="preserve">にて大きな増減が検出された場合に、科目単位で増減理由を確認させていただいております</t>
    </r>
    <r>
      <rPr>
        <sz val="9"/>
        <rFont val="DejaVu Sans"/>
        <family val="2"/>
        <charset val="1"/>
      </rPr>
      <t xml:space="preserve">) ----…</t>
    </r>
    <r>
      <rPr>
        <sz val="9"/>
        <rFont val="DejaVu Sans"/>
        <family val="2"/>
      </rPr>
      <t xml:space="preserve">」</t>
    </r>
  </si>
  <si>
    <t xml:space="preserve">28-002</t>
  </si>
  <si>
    <r>
      <rPr>
        <sz val="9"/>
        <rFont val="DejaVu Sans"/>
        <family val="2"/>
      </rPr>
      <t xml:space="preserve">分析対象期間（</t>
    </r>
    <r>
      <rPr>
        <sz val="9"/>
        <rFont val="DejaVu Sans"/>
        <family val="2"/>
        <charset val="1"/>
      </rPr>
      <t xml:space="preserve">3Q: </t>
    </r>
    <r>
      <rPr>
        <sz val="9"/>
        <rFont val="DejaVu Sans"/>
        <family val="2"/>
      </rPr>
      <t xml:space="preserve">前期</t>
    </r>
    <r>
      <rPr>
        <sz val="9"/>
        <rFont val="DejaVu Sans"/>
        <family val="2"/>
        <charset val="1"/>
      </rPr>
      <t xml:space="preserve">3Q</t>
    </r>
    <r>
      <rPr>
        <sz val="9"/>
        <rFont val="DejaVu Sans"/>
        <family val="2"/>
      </rPr>
      <t xml:space="preserve">比較／期末</t>
    </r>
    <r>
      <rPr>
        <sz val="9"/>
        <rFont val="DejaVu Sans"/>
        <family val="2"/>
        <charset val="1"/>
      </rPr>
      <t xml:space="preserve">: </t>
    </r>
    <r>
      <rPr>
        <sz val="9"/>
        <rFont val="DejaVu Sans"/>
        <family val="2"/>
      </rPr>
      <t xml:space="preserve">前期</t>
    </r>
    <r>
      <rPr>
        <sz val="9"/>
        <rFont val="DejaVu Sans"/>
        <family val="2"/>
        <charset val="1"/>
      </rPr>
      <t xml:space="preserve">4Q</t>
    </r>
    <r>
      <rPr>
        <sz val="9"/>
        <rFont val="DejaVu Sans"/>
        <family val="2"/>
      </rPr>
      <t xml:space="preserve">比較）が適切に設定されており分析結果が提出されている</t>
    </r>
  </si>
  <si>
    <t xml:space="preserve">28-003</t>
  </si>
  <si>
    <t xml:space="preserve">異常な増減がある科目について科目単位で増減要因の説明が記載されている</t>
  </si>
  <si>
    <t xml:space="preserve">28-004</t>
  </si>
  <si>
    <t xml:space="preserve">棚卸資産評価損の計上有無と計上ルールが確認・記載されている</t>
  </si>
  <si>
    <t xml:space="preserve">28-005</t>
  </si>
  <si>
    <t xml:space="preserve">増減の大きい科目に対する要因分析が合理的であり異常値の説明が十分である</t>
  </si>
  <si>
    <t xml:space="preserve">28-006</t>
  </si>
  <si>
    <r>
      <rPr>
        <sz val="9"/>
        <rFont val="DejaVu Sans"/>
        <family val="2"/>
      </rPr>
      <t xml:space="preserve">個社別分析対象会社では分析用ファイルへの回答と連結</t>
    </r>
    <r>
      <rPr>
        <sz val="9"/>
        <rFont val="DejaVu Sans"/>
        <family val="2"/>
        <charset val="1"/>
      </rPr>
      <t xml:space="preserve">PKG</t>
    </r>
    <r>
      <rPr>
        <sz val="9"/>
        <rFont val="DejaVu Sans"/>
        <family val="2"/>
      </rPr>
      <t xml:space="preserve">上の数値が整合している</t>
    </r>
  </si>
  <si>
    <t xml:space="preserve">28-007</t>
  </si>
  <si>
    <t xml:space="preserve">異常増減の説明を裏付ける根拠資料が提出されている</t>
  </si>
  <si>
    <r>
      <rPr>
        <b val="true"/>
        <sz val="13"/>
        <color rgb="FF1F3864"/>
        <rFont val="DejaVu Sans"/>
        <family val="2"/>
      </rPr>
      <t xml:space="preserve">自主点検  点検項目インデックス（</t>
    </r>
    <r>
      <rPr>
        <b val="true"/>
        <sz val="13"/>
        <color rgb="FF1F3864"/>
        <rFont val="DejaVu Sans"/>
        <family val="2"/>
        <charset val="1"/>
      </rPr>
      <t xml:space="preserve">28</t>
    </r>
    <r>
      <rPr>
        <b val="true"/>
        <sz val="13"/>
        <color rgb="FF1F3864"/>
        <rFont val="DejaVu Sans"/>
        <family val="2"/>
      </rPr>
      <t xml:space="preserve">項目）</t>
    </r>
  </si>
  <si>
    <t xml:space="preserve">関連科目・取引</t>
  </si>
  <si>
    <t xml:space="preserve">提出物数</t>
  </si>
  <si>
    <r>
      <rPr>
        <b val="true"/>
        <sz val="9"/>
        <color rgb="FFFFFFFF"/>
        <rFont val="Calibri"/>
        <family val="0"/>
        <charset val="1"/>
      </rPr>
      <t xml:space="preserve">CP</t>
    </r>
    <r>
      <rPr>
        <b val="true"/>
        <sz val="9"/>
        <color rgb="FFFFFFFF"/>
        <rFont val="DejaVu Sans"/>
        <family val="2"/>
      </rPr>
      <t xml:space="preserve">数</t>
    </r>
  </si>
  <si>
    <t xml:space="preserve">年度末
対象</t>
  </si>
  <si>
    <t xml:space="preserve">四半期
対象</t>
  </si>
  <si>
    <t xml:space="preserve">過去事例
件数</t>
  </si>
  <si>
    <t xml:space="preserve">売掛金、売上</t>
  </si>
  <si>
    <t xml:space="preserve">棚卸資産、売上</t>
  </si>
  <si>
    <t xml:space="preserve">固定資産</t>
  </si>
  <si>
    <t xml:space="preserve">売掛金</t>
  </si>
  <si>
    <t xml:space="preserve">売上</t>
  </si>
  <si>
    <t xml:space="preserve">売上、仕掛品</t>
  </si>
  <si>
    <t xml:space="preserve">売上原価、仕掛品</t>
  </si>
  <si>
    <t xml:space="preserve">売上原価</t>
  </si>
  <si>
    <t xml:space="preserve">販売費及び一般管理費</t>
  </si>
  <si>
    <t xml:space="preserve">損益全般</t>
  </si>
  <si>
    <t xml:space="preserve">販売費及び一般管理費、引当金</t>
  </si>
  <si>
    <t xml:space="preserve">固定資産、固定資産除却損</t>
  </si>
  <si>
    <t xml:space="preserve">固定資産、資産除去債務</t>
  </si>
  <si>
    <t xml:space="preserve">固定資産、のれん、投資その他の資産</t>
  </si>
  <si>
    <t xml:space="preserve">賞与引当金、賞与</t>
  </si>
  <si>
    <t xml:space="preserve">全般</t>
  </si>
  <si>
    <t xml:space="preserve">合計</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</si>
</sst>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3"/>
      <color rgb="FF1F3864"/>
      <name val="DejaVu Sans"/>
      <family val="2"/>
    </font>
    <font>
      <sz val="9"/>
      <color rgb="FF333333"/>
      <name val="DejaVu Sans"/>
      <family val="2"/>
    </font>
    <font>
      <sz val="9"/>
      <color rgb="FF333333"/>
      <name val="DejaVu Sans"/>
      <family val="2"/>
      <charset val="1"/>
    </font>
    <font>
      <i val="true"/>
      <sz val="9"/>
      <color rgb="FF5C5C5C"/>
      <name val="DejaVu Sans"/>
      <family val="2"/>
    </font>
    <font>
      <i val="true"/>
      <sz val="9"/>
      <color rgb="FF5C5C5C"/>
      <name val="DejaVu Sans"/>
      <family val="2"/>
      <charset val="1"/>
    </font>
    <font>
      <b val="true"/>
      <sz val="9"/>
      <color rgb="FFFFFFFF"/>
      <name val="Calibri"/>
      <family val="0"/>
      <charset val="1"/>
    </font>
    <font>
      <b val="true"/>
      <sz val="9"/>
      <color rgb="FFFFFFFF"/>
      <name val="DejaVu Sans"/>
      <family val="2"/>
    </font>
    <font>
      <b val="true"/>
      <sz val="9"/>
      <color rgb="FFFFFFFF"/>
      <name val="DejaVu Sans"/>
      <family val="2"/>
      <charset val="1"/>
    </font>
    <font>
      <sz val="9"/>
      <name val="Calibri"/>
      <family val="0"/>
      <charset val="1"/>
    </font>
    <font>
      <sz val="9"/>
      <name val="DejaVu Sans"/>
      <family val="2"/>
    </font>
    <font>
      <sz val="9"/>
      <name val="DejaVu Sans"/>
      <family val="2"/>
      <charset val="1"/>
    </font>
    <font>
      <b val="true"/>
      <sz val="13"/>
      <color rgb="FF1F3864"/>
      <name val="DejaVu Sans"/>
      <family val="2"/>
      <charset val="1"/>
    </font>
    <font>
      <sz val="9"/>
      <color rgb="FF1F3864"/>
      <name val="Calibri"/>
      <family val="0"/>
      <charset val="1"/>
    </font>
    <font>
      <b val="true"/>
      <sz val="9"/>
      <color rgb="FF000000"/>
      <name val="DejaVu Sans"/>
      <family val="2"/>
    </font>
    <font>
      <b val="true"/>
      <sz val="9"/>
      <color rgb="FF1F3864"/>
      <name val="Calibri"/>
      <family val="0"/>
      <charset val="1"/>
    </font>
  </fonts>
  <fills count="8">
    <fill>
      <patternFill patternType="none"/>
    </fill>
    <fill>
      <patternFill patternType="gray125"/>
    </fill>
    <fill>
      <patternFill patternType="solid">
        <fgColor rgb="FFEEF2FA"/>
        <bgColor rgb="FFF5F5F0"/>
      </patternFill>
    </fill>
    <fill>
      <patternFill patternType="solid">
        <fgColor rgb="FFF5F5F0"/>
        <bgColor rgb="FFEEF2FA"/>
      </patternFill>
    </fill>
    <fill>
      <patternFill patternType="solid">
        <fgColor rgb="FF2E5FA3"/>
        <bgColor rgb="FF3366FF"/>
      </patternFill>
    </fill>
    <fill>
      <patternFill patternType="solid">
        <fgColor rgb="FF375623"/>
        <bgColor rgb="FF333333"/>
      </patternFill>
    </fill>
    <fill>
      <patternFill patternType="solid">
        <fgColor rgb="FFFFFFF0"/>
        <bgColor rgb="FFFFFFFF"/>
      </patternFill>
    </fill>
    <fill>
      <patternFill patternType="solid">
        <fgColor rgb="FFE2EAF5"/>
        <bgColor rgb="FFEEF2FA"/>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5FA3"/>
          <bgColor rgb="FF000000"/>
        </patternFill>
      </fill>
    </dxf>
    <dxf>
      <fill>
        <patternFill patternType="solid">
          <bgColor rgb="FF000000"/>
        </patternFill>
      </fill>
    </dxf>
    <dxf>
      <fill>
        <patternFill patternType="solid">
          <fgColor rgb="FFFFFFFF"/>
          <bgColor rgb="FF000000"/>
        </patternFill>
      </fill>
    </dxf>
    <dxf>
      <fill>
        <patternFill patternType="solid">
          <fgColor rgb="FF375623"/>
          <bgColor rgb="FF000000"/>
        </patternFill>
      </fill>
    </dxf>
    <dxf>
      <fill>
        <patternFill patternType="solid">
          <fgColor rgb="FFFFFFF0"/>
          <bgColor rgb="FF000000"/>
        </patternFill>
      </fill>
    </dxf>
    <dxf>
      <fill>
        <patternFill patternType="solid">
          <fgColor rgb="FF1F386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F0"/>
      <rgbColor rgb="FFE2EAF5"/>
      <rgbColor rgb="FF660066"/>
      <rgbColor rgb="FFFF8080"/>
      <rgbColor rgb="FF2E5FA3"/>
      <rgbColor rgb="FFD0D0D0"/>
      <rgbColor rgb="FF000080"/>
      <rgbColor rgb="FFFF00FF"/>
      <rgbColor rgb="FFFFFF00"/>
      <rgbColor rgb="FF00FFFF"/>
      <rgbColor rgb="FF800080"/>
      <rgbColor rgb="FF800000"/>
      <rgbColor rgb="FF008080"/>
      <rgbColor rgb="FF0000FF"/>
      <rgbColor rgb="FF00CCFF"/>
      <rgbColor rgb="FFEEF2FA"/>
      <rgbColor rgb="FFF5F5F0"/>
      <rgbColor rgb="FFFFFF99"/>
      <rgbColor rgb="FF99CCFF"/>
      <rgbColor rgb="FFFF99CC"/>
      <rgbColor rgb="FFCC99FF"/>
      <rgbColor rgb="FFFFCC99"/>
      <rgbColor rgb="FF3366FF"/>
      <rgbColor rgb="FF33CCCC"/>
      <rgbColor rgb="FF99CC00"/>
      <rgbColor rgb="FFFFCC00"/>
      <rgbColor rgb="FFFF9900"/>
      <rgbColor rgb="FFFF6600"/>
      <rgbColor rgb="FF5C5C5C"/>
      <rgbColor rgb="FF969696"/>
      <rgbColor rgb="FF1F3864"/>
      <rgbColor rgb="FF339966"/>
      <rgbColor rgb="FF003300"/>
      <rgbColor rgb="FF375623"/>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sharedStrings" Target="sharedStrings.xml"/><Relationship Id="rId5" Type="http://schemas.openxmlformats.org/officeDocument/2006/relationships/worksheet" Target="worksheets/sheet3.xml"/><Relationship Id="rId4" Type="http://schemas.openxmlformats.org/officeDocument/2006/relationships/worksheet" Target="worksheets/sheet2.xml"/><Relationship Id="rId9" Type="http://schemas.openxmlformats.org/officeDocument/2006/relationships/customXml" Target="../customXml/item3.xml"/></Relationships>
</file>

<file path=xl/tables/table1.xml><?xml version="1.0" encoding="utf-8"?>
<table xmlns="http://schemas.openxmlformats.org/spreadsheetml/2006/main" id="1" name="チェックポイント" displayName="チェックポイント" ref="A6:M169" headerRowCount="1" totalsRowCount="0" totalsRowShown="0">
  <autoFilter ref="A6:M169"/>
  <tableColumns count="13">
    <tableColumn id="1" name="No"/>
    <tableColumn id="2" name="項目No"/>
    <tableColumn id="3" name="点検項目名"/>
    <tableColumn id="4" name="CP_ID"/>
    <tableColumn id="5" name="チェックポイント内容"/>
    <tableColumn id="6" name="年度末"/>
    <tableColumn id="7" name="四半期"/>
    <tableColumn id="8" name="☑確認"/>
    <tableColumn id="9" name="該当なし"/>
    <tableColumn id="10" name="非該当・未確認の理由"/>
    <tableColumn id="11" name="過去の差し戻し注意&#10;（頻出パターン）"/>
    <tableColumn id="12" name="一次ソース"/>
    <tableColumn id="13" name="備考"/>
  </tableColumns>
</table>
</file>

<file path=xl/tables/table2.xml><?xml version="1.0" encoding="utf-8"?>
<table xmlns="http://schemas.openxmlformats.org/spreadsheetml/2006/main" id="2" name="提出物" displayName="提出物" ref="A6:P88" headerRowCount="1" totalsRowCount="0" totalsRowShown="0">
  <autoFilter ref="A6:P88"/>
  <tableColumns count="16">
    <tableColumn id="1" name="No"/>
    <tableColumn id="2" name="項目No"/>
    <tableColumn id="3" name="点検項目名"/>
    <tableColumn id="4" name="提出物名"/>
    <tableColumn id="5" name="提出物詳細"/>
    <tableColumn id="6" name="区分"/>
    <tableColumn id="7" name="提出区分"/>
    <tableColumn id="8" name="適用の目安&#10;（条件付き・代替・排他の場合）"/>
    <tableColumn id="9" name="年度末"/>
    <tableColumn id="10" name="四半期"/>
    <tableColumn id="11" name="☑提出"/>
    <tableColumn id="12" name="該当なし"/>
    <tableColumn id="13" name="非該当・未提出の理由"/>
    <tableColumn id="14" name="格納先フォルダパス"/>
    <tableColumn id="15" name="一次ソース"/>
    <tableColumn id="16" name="備考"/>
  </tableColumns>
</table>
</file>

<file path=xl/tables/table3.xml><?xml version="1.0" encoding="utf-8"?>
<table xmlns="http://schemas.openxmlformats.org/spreadsheetml/2006/main" id="3" name="点検項目" displayName="点検項目" ref="A6:I34" headerRowCount="1" totalsRowCount="0" totalsRowShown="0">
  <autoFilter ref="A6:I34"/>
  <tableColumns count="9">
    <tableColumn id="1" name="No"/>
    <tableColumn id="2" name="点検項目名"/>
    <tableColumn id="3" name="関連科目・取引"/>
    <tableColumn id="4" name="提出物数"/>
    <tableColumn id="5" name="CP数"/>
    <tableColumn id="6" name="年度末&#10;対象"/>
    <tableColumn id="7" name="四半期&#10;対象"/>
    <tableColumn id="8" name="過去事例&#10;件数"/>
    <tableColumn id="9" name="備考"/>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7"/>
    <col collapsed="false" customWidth="true" hidden="false" outlineLevel="0" max="3" min="3" style="1" width="22"/>
    <col collapsed="false" customWidth="true" hidden="false" outlineLevel="0" max="4" min="4" style="1" width="28"/>
    <col collapsed="false" customWidth="true" hidden="false" outlineLevel="0" max="5" min="5" style="1" width="34"/>
    <col collapsed="false" customWidth="true" hidden="false" outlineLevel="0" max="6" min="6" style="1" width="13"/>
    <col collapsed="false" customWidth="true" hidden="false" outlineLevel="0" max="7" min="7" style="1" width="10"/>
    <col collapsed="false" customWidth="true" hidden="false" outlineLevel="0" max="8" min="8" style="1" width="32"/>
    <col collapsed="false" customWidth="true" hidden="false" outlineLevel="0" max="12" min="9" style="1" width="7"/>
    <col collapsed="false" customWidth="true" hidden="false" outlineLevel="0" max="14" min="13" style="1" width="30"/>
    <col collapsed="false" customWidth="true" hidden="false" outlineLevel="0" max="15" min="15" style="1" width="32"/>
    <col collapsed="false" customWidth="true" hidden="false" outlineLevel="0" max="16" min="16" style="1" width="24"/>
  </cols>
  <sheetData>
    <row r="1" customFormat="false" ht="6" hidden="false" customHeight="true" outlineLevel="0" collapsed="false"/>
    <row r="2" customFormat="false" ht="25.5" hidden="false" customHeight="true" outlineLevel="0" collapsed="false">
      <c r="A2" s="2" t="s">
        <v>0</v>
      </c>
      <c r="B2" s="2"/>
      <c r="C2" s="2"/>
      <c r="D2" s="2"/>
      <c r="E2" s="2"/>
      <c r="F2" s="2"/>
      <c r="G2" s="2"/>
      <c r="H2" s="2"/>
      <c r="I2" s="2"/>
      <c r="J2" s="2"/>
      <c r="K2" s="2"/>
      <c r="L2" s="2"/>
      <c r="M2" s="2"/>
      <c r="N2" s="2"/>
      <c r="O2" s="2"/>
      <c r="P2" s="2"/>
    </row>
    <row r="3" customFormat="false" ht="18" hidden="false" customHeight="true" outlineLevel="0" collapsed="false">
      <c r="A3" s="3" t="s">
        <v>1</v>
      </c>
      <c r="B3" s="3"/>
      <c r="C3" s="3"/>
      <c r="D3" s="3"/>
      <c r="E3" s="3"/>
      <c r="F3" s="3"/>
      <c r="G3" s="3"/>
      <c r="H3" s="3"/>
      <c r="I3" s="3"/>
      <c r="J3" s="3"/>
      <c r="K3" s="3"/>
      <c r="L3" s="3"/>
      <c r="M3" s="3"/>
      <c r="N3" s="3"/>
      <c r="O3" s="3"/>
      <c r="P3" s="3"/>
    </row>
    <row r="4" customFormat="false" ht="15" hidden="false" customHeight="true" outlineLevel="0" collapsed="false">
      <c r="A4" s="4" t="s">
        <v>2</v>
      </c>
      <c r="B4" s="4"/>
      <c r="C4" s="4"/>
      <c r="D4" s="4"/>
      <c r="E4" s="4"/>
      <c r="F4" s="4"/>
      <c r="G4" s="4"/>
      <c r="H4" s="4"/>
      <c r="I4" s="4"/>
      <c r="J4" s="4"/>
      <c r="K4" s="4"/>
      <c r="L4" s="4"/>
      <c r="M4" s="4"/>
      <c r="N4" s="4"/>
      <c r="O4" s="4"/>
      <c r="P4" s="4"/>
    </row>
    <row r="5" customFormat="false" ht="3.75" hidden="false" customHeight="true" outlineLevel="0" collapsed="false"/>
    <row r="6" customFormat="false" ht="31.5" hidden="false" customHeight="true" outlineLevel="0" collapsed="false">
      <c r="A6" s="5" t="s">
        <v>3</v>
      </c>
      <c r="B6" s="6" t="s">
        <v>4</v>
      </c>
      <c r="C6" s="6" t="s">
        <v>5</v>
      </c>
      <c r="D6" s="6" t="s">
        <v>6</v>
      </c>
      <c r="E6" s="6" t="s">
        <v>7</v>
      </c>
      <c r="F6" s="6" t="s">
        <v>8</v>
      </c>
      <c r="G6" s="6" t="s">
        <v>9</v>
      </c>
      <c r="H6" s="6" t="s">
        <v>10</v>
      </c>
      <c r="I6" s="6" t="s">
        <v>11</v>
      </c>
      <c r="J6" s="6" t="s">
        <v>12</v>
      </c>
      <c r="K6" s="7" t="s">
        <v>13</v>
      </c>
      <c r="L6" s="7" t="s">
        <v>14</v>
      </c>
      <c r="M6" s="7" t="s">
        <v>15</v>
      </c>
      <c r="N6" s="6" t="s">
        <v>16</v>
      </c>
      <c r="O6" s="6" t="s">
        <v>17</v>
      </c>
      <c r="P6" s="6" t="s">
        <v>18</v>
      </c>
    </row>
    <row r="7" customFormat="false" ht="15" hidden="false" customHeight="true" outlineLevel="0" collapsed="false">
      <c r="A7" s="8" t="n">
        <v>1</v>
      </c>
      <c r="B7" s="8" t="n">
        <v>1</v>
      </c>
      <c r="C7" s="9" t="s">
        <v>19</v>
      </c>
      <c r="D7" s="9" t="s">
        <v>20</v>
      </c>
      <c r="E7" s="8"/>
      <c r="F7" s="9" t="s">
        <v>21</v>
      </c>
      <c r="G7" s="9" t="s">
        <v>22</v>
      </c>
      <c r="H7" s="8"/>
      <c r="I7" s="10" t="s">
        <v>23</v>
      </c>
      <c r="J7" s="10"/>
      <c r="K7" s="11" t="s">
        <v>24</v>
      </c>
      <c r="L7" s="11" t="s">
        <v>24</v>
      </c>
      <c r="M7" s="12"/>
      <c r="N7" s="8" t="s">
        <v>25</v>
      </c>
      <c r="O7" s="8" t="s">
        <v>26</v>
      </c>
      <c r="P7" s="8"/>
    </row>
    <row r="8" customFormat="false" ht="15" hidden="false" customHeight="true" outlineLevel="0" collapsed="false">
      <c r="A8" s="8" t="n">
        <v>2</v>
      </c>
      <c r="B8" s="8" t="n">
        <v>1</v>
      </c>
      <c r="C8" s="9" t="s">
        <v>19</v>
      </c>
      <c r="D8" s="9" t="s">
        <v>27</v>
      </c>
      <c r="E8" s="9" t="s">
        <v>28</v>
      </c>
      <c r="F8" s="9" t="s">
        <v>21</v>
      </c>
      <c r="G8" s="9" t="s">
        <v>29</v>
      </c>
      <c r="H8" s="9" t="s">
        <v>30</v>
      </c>
      <c r="I8" s="10" t="s">
        <v>23</v>
      </c>
      <c r="J8" s="10"/>
      <c r="K8" s="11" t="s">
        <v>24</v>
      </c>
      <c r="L8" s="11" t="s">
        <v>24</v>
      </c>
      <c r="M8" s="12"/>
      <c r="N8" s="8" t="s">
        <v>25</v>
      </c>
      <c r="O8" s="8" t="s">
        <v>26</v>
      </c>
      <c r="P8" s="8"/>
    </row>
    <row r="9" customFormat="false" ht="15" hidden="false" customHeight="true" outlineLevel="0" collapsed="false">
      <c r="A9" s="8" t="n">
        <v>3</v>
      </c>
      <c r="B9" s="8" t="n">
        <v>1</v>
      </c>
      <c r="C9" s="9" t="s">
        <v>19</v>
      </c>
      <c r="D9" s="9" t="s">
        <v>31</v>
      </c>
      <c r="E9" s="8"/>
      <c r="F9" s="9" t="s">
        <v>32</v>
      </c>
      <c r="G9" s="9" t="s">
        <v>29</v>
      </c>
      <c r="H9" s="8" t="s">
        <v>33</v>
      </c>
      <c r="I9" s="10" t="s">
        <v>23</v>
      </c>
      <c r="J9" s="10"/>
      <c r="K9" s="11" t="s">
        <v>24</v>
      </c>
      <c r="L9" s="11" t="s">
        <v>24</v>
      </c>
      <c r="M9" s="12"/>
      <c r="N9" s="8" t="s">
        <v>25</v>
      </c>
      <c r="O9" s="8" t="s">
        <v>26</v>
      </c>
      <c r="P9" s="8"/>
    </row>
    <row r="10" customFormat="false" ht="15" hidden="false" customHeight="true" outlineLevel="0" collapsed="false">
      <c r="A10" s="8" t="n">
        <v>4</v>
      </c>
      <c r="B10" s="8" t="n">
        <v>1</v>
      </c>
      <c r="C10" s="9" t="s">
        <v>19</v>
      </c>
      <c r="D10" s="9" t="s">
        <v>34</v>
      </c>
      <c r="E10" s="8" t="s">
        <v>35</v>
      </c>
      <c r="F10" s="9" t="s">
        <v>36</v>
      </c>
      <c r="G10" s="9" t="s">
        <v>22</v>
      </c>
      <c r="H10" s="8"/>
      <c r="I10" s="10" t="s">
        <v>23</v>
      </c>
      <c r="J10" s="10"/>
      <c r="K10" s="11" t="s">
        <v>24</v>
      </c>
      <c r="L10" s="11" t="s">
        <v>24</v>
      </c>
      <c r="M10" s="12"/>
      <c r="N10" s="8" t="s">
        <v>25</v>
      </c>
      <c r="O10" s="8" t="s">
        <v>26</v>
      </c>
      <c r="P10" s="8"/>
    </row>
    <row r="11" customFormat="false" ht="15" hidden="false" customHeight="true" outlineLevel="0" collapsed="false">
      <c r="A11" s="8" t="n">
        <v>5</v>
      </c>
      <c r="B11" s="8" t="n">
        <v>1</v>
      </c>
      <c r="C11" s="9" t="s">
        <v>19</v>
      </c>
      <c r="D11" s="9" t="s">
        <v>37</v>
      </c>
      <c r="E11" s="8" t="s">
        <v>38</v>
      </c>
      <c r="F11" s="9" t="s">
        <v>36</v>
      </c>
      <c r="G11" s="9" t="s">
        <v>22</v>
      </c>
      <c r="H11" s="8"/>
      <c r="I11" s="10" t="s">
        <v>23</v>
      </c>
      <c r="J11" s="10"/>
      <c r="K11" s="11" t="s">
        <v>24</v>
      </c>
      <c r="L11" s="11" t="s">
        <v>24</v>
      </c>
      <c r="M11" s="12"/>
      <c r="N11" s="8" t="s">
        <v>25</v>
      </c>
      <c r="O11" s="8" t="s">
        <v>26</v>
      </c>
      <c r="P11" s="8"/>
    </row>
    <row r="12" customFormat="false" ht="15" hidden="false" customHeight="true" outlineLevel="0" collapsed="false">
      <c r="A12" s="8" t="n">
        <v>6</v>
      </c>
      <c r="B12" s="8" t="n">
        <v>2</v>
      </c>
      <c r="C12" s="9" t="s">
        <v>39</v>
      </c>
      <c r="D12" s="9" t="s">
        <v>40</v>
      </c>
      <c r="E12" s="9" t="s">
        <v>41</v>
      </c>
      <c r="F12" s="9" t="s">
        <v>21</v>
      </c>
      <c r="G12" s="9" t="s">
        <v>22</v>
      </c>
      <c r="H12" s="8"/>
      <c r="I12" s="10" t="s">
        <v>23</v>
      </c>
      <c r="J12" s="10"/>
      <c r="K12" s="11" t="s">
        <v>24</v>
      </c>
      <c r="L12" s="11" t="s">
        <v>24</v>
      </c>
      <c r="M12" s="12"/>
      <c r="N12" s="8" t="s">
        <v>42</v>
      </c>
      <c r="O12" s="8" t="s">
        <v>26</v>
      </c>
      <c r="P12" s="8"/>
    </row>
    <row r="13" customFormat="false" ht="15" hidden="false" customHeight="true" outlineLevel="0" collapsed="false">
      <c r="A13" s="8" t="n">
        <v>7</v>
      </c>
      <c r="B13" s="8" t="n">
        <v>2</v>
      </c>
      <c r="C13" s="9" t="s">
        <v>39</v>
      </c>
      <c r="D13" s="9" t="s">
        <v>43</v>
      </c>
      <c r="E13" s="8"/>
      <c r="F13" s="9" t="s">
        <v>21</v>
      </c>
      <c r="G13" s="9" t="s">
        <v>29</v>
      </c>
      <c r="H13" s="9" t="s">
        <v>44</v>
      </c>
      <c r="I13" s="10" t="s">
        <v>23</v>
      </c>
      <c r="J13" s="10"/>
      <c r="K13" s="11" t="s">
        <v>24</v>
      </c>
      <c r="L13" s="11" t="s">
        <v>24</v>
      </c>
      <c r="M13" s="12"/>
      <c r="N13" s="8" t="s">
        <v>42</v>
      </c>
      <c r="O13" s="8" t="s">
        <v>26</v>
      </c>
      <c r="P13" s="8"/>
    </row>
    <row r="14" customFormat="false" ht="15" hidden="false" customHeight="true" outlineLevel="0" collapsed="false">
      <c r="A14" s="8" t="n">
        <v>8</v>
      </c>
      <c r="B14" s="8" t="n">
        <v>3</v>
      </c>
      <c r="C14" s="9" t="s">
        <v>45</v>
      </c>
      <c r="D14" s="9" t="s">
        <v>46</v>
      </c>
      <c r="E14" s="9" t="s">
        <v>47</v>
      </c>
      <c r="F14" s="9" t="s">
        <v>21</v>
      </c>
      <c r="G14" s="9" t="s">
        <v>22</v>
      </c>
      <c r="H14" s="8"/>
      <c r="I14" s="10" t="s">
        <v>23</v>
      </c>
      <c r="J14" s="10"/>
      <c r="K14" s="11" t="s">
        <v>24</v>
      </c>
      <c r="L14" s="11" t="s">
        <v>24</v>
      </c>
      <c r="M14" s="12"/>
      <c r="N14" s="8" t="s">
        <v>48</v>
      </c>
      <c r="O14" s="8" t="s">
        <v>26</v>
      </c>
      <c r="P14" s="8"/>
    </row>
    <row r="15" customFormat="false" ht="15" hidden="false" customHeight="true" outlineLevel="0" collapsed="false">
      <c r="A15" s="8" t="n">
        <v>9</v>
      </c>
      <c r="B15" s="8" t="n">
        <v>3</v>
      </c>
      <c r="C15" s="9" t="s">
        <v>45</v>
      </c>
      <c r="D15" s="9" t="s">
        <v>49</v>
      </c>
      <c r="E15" s="8"/>
      <c r="F15" s="9" t="s">
        <v>32</v>
      </c>
      <c r="G15" s="9" t="s">
        <v>22</v>
      </c>
      <c r="H15" s="8"/>
      <c r="I15" s="10" t="s">
        <v>23</v>
      </c>
      <c r="J15" s="10"/>
      <c r="K15" s="11" t="s">
        <v>24</v>
      </c>
      <c r="L15" s="11" t="s">
        <v>24</v>
      </c>
      <c r="M15" s="12"/>
      <c r="N15" s="8" t="s">
        <v>48</v>
      </c>
      <c r="O15" s="8" t="s">
        <v>26</v>
      </c>
      <c r="P15" s="8"/>
    </row>
    <row r="16" customFormat="false" ht="15" hidden="false" customHeight="true" outlineLevel="0" collapsed="false">
      <c r="A16" s="8" t="n">
        <v>10</v>
      </c>
      <c r="B16" s="8" t="n">
        <v>3</v>
      </c>
      <c r="C16" s="9" t="s">
        <v>45</v>
      </c>
      <c r="D16" s="9" t="s">
        <v>50</v>
      </c>
      <c r="E16" s="9" t="s">
        <v>51</v>
      </c>
      <c r="F16" s="9" t="s">
        <v>32</v>
      </c>
      <c r="G16" s="9" t="s">
        <v>52</v>
      </c>
      <c r="H16" s="9" t="s">
        <v>53</v>
      </c>
      <c r="I16" s="10" t="s">
        <v>23</v>
      </c>
      <c r="J16" s="10"/>
      <c r="K16" s="11" t="s">
        <v>24</v>
      </c>
      <c r="L16" s="11" t="s">
        <v>24</v>
      </c>
      <c r="M16" s="12"/>
      <c r="N16" s="8" t="s">
        <v>48</v>
      </c>
      <c r="O16" s="8" t="s">
        <v>26</v>
      </c>
      <c r="P16" s="8"/>
    </row>
    <row r="17" customFormat="false" ht="15" hidden="false" customHeight="true" outlineLevel="0" collapsed="false">
      <c r="A17" s="8" t="n">
        <v>11</v>
      </c>
      <c r="B17" s="8" t="n">
        <v>3</v>
      </c>
      <c r="C17" s="9" t="s">
        <v>45</v>
      </c>
      <c r="D17" s="9" t="s">
        <v>54</v>
      </c>
      <c r="E17" s="8"/>
      <c r="F17" s="9" t="s">
        <v>21</v>
      </c>
      <c r="G17" s="9" t="s">
        <v>29</v>
      </c>
      <c r="H17" s="9" t="s">
        <v>55</v>
      </c>
      <c r="I17" s="10" t="s">
        <v>23</v>
      </c>
      <c r="J17" s="10"/>
      <c r="K17" s="11" t="s">
        <v>24</v>
      </c>
      <c r="L17" s="11" t="s">
        <v>24</v>
      </c>
      <c r="M17" s="12"/>
      <c r="N17" s="8" t="s">
        <v>48</v>
      </c>
      <c r="O17" s="8" t="s">
        <v>26</v>
      </c>
      <c r="P17" s="8"/>
    </row>
    <row r="18" customFormat="false" ht="15" hidden="false" customHeight="true" outlineLevel="0" collapsed="false">
      <c r="A18" s="8" t="n">
        <v>12</v>
      </c>
      <c r="B18" s="8" t="n">
        <v>3</v>
      </c>
      <c r="C18" s="9" t="s">
        <v>45</v>
      </c>
      <c r="D18" s="9" t="s">
        <v>56</v>
      </c>
      <c r="E18" s="8" t="s">
        <v>57</v>
      </c>
      <c r="F18" s="9" t="s">
        <v>32</v>
      </c>
      <c r="G18" s="9" t="s">
        <v>29</v>
      </c>
      <c r="H18" s="9" t="s">
        <v>58</v>
      </c>
      <c r="I18" s="10" t="s">
        <v>23</v>
      </c>
      <c r="J18" s="10"/>
      <c r="K18" s="11" t="s">
        <v>24</v>
      </c>
      <c r="L18" s="11" t="s">
        <v>24</v>
      </c>
      <c r="M18" s="12"/>
      <c r="N18" s="8" t="s">
        <v>48</v>
      </c>
      <c r="O18" s="8" t="s">
        <v>26</v>
      </c>
      <c r="P18" s="8"/>
    </row>
    <row r="19" customFormat="false" ht="15" hidden="false" customHeight="true" outlineLevel="0" collapsed="false">
      <c r="A19" s="8" t="n">
        <v>13</v>
      </c>
      <c r="B19" s="8" t="n">
        <v>3</v>
      </c>
      <c r="C19" s="9" t="s">
        <v>45</v>
      </c>
      <c r="D19" s="9" t="s">
        <v>59</v>
      </c>
      <c r="E19" s="8"/>
      <c r="F19" s="9" t="s">
        <v>21</v>
      </c>
      <c r="G19" s="9" t="s">
        <v>29</v>
      </c>
      <c r="H19" s="9" t="s">
        <v>60</v>
      </c>
      <c r="I19" s="10" t="s">
        <v>23</v>
      </c>
      <c r="J19" s="10"/>
      <c r="K19" s="11" t="s">
        <v>24</v>
      </c>
      <c r="L19" s="11" t="s">
        <v>24</v>
      </c>
      <c r="M19" s="12"/>
      <c r="N19" s="8" t="s">
        <v>48</v>
      </c>
      <c r="O19" s="8" t="s">
        <v>26</v>
      </c>
      <c r="P19" s="8"/>
    </row>
    <row r="20" customFormat="false" ht="15" hidden="false" customHeight="true" outlineLevel="0" collapsed="false">
      <c r="A20" s="8" t="n">
        <v>14</v>
      </c>
      <c r="B20" s="8" t="n">
        <v>4</v>
      </c>
      <c r="C20" s="9" t="s">
        <v>61</v>
      </c>
      <c r="D20" s="9" t="s">
        <v>62</v>
      </c>
      <c r="E20" s="9" t="s">
        <v>63</v>
      </c>
      <c r="F20" s="9" t="s">
        <v>21</v>
      </c>
      <c r="G20" s="9" t="s">
        <v>22</v>
      </c>
      <c r="H20" s="8"/>
      <c r="I20" s="10" t="s">
        <v>23</v>
      </c>
      <c r="J20" s="10" t="s">
        <v>23</v>
      </c>
      <c r="K20" s="11" t="s">
        <v>24</v>
      </c>
      <c r="L20" s="11" t="s">
        <v>24</v>
      </c>
      <c r="M20" s="12"/>
      <c r="N20" s="8" t="s">
        <v>64</v>
      </c>
      <c r="O20" s="8" t="s">
        <v>26</v>
      </c>
      <c r="P20" s="8"/>
    </row>
    <row r="21" customFormat="false" ht="15" hidden="false" customHeight="true" outlineLevel="0" collapsed="false">
      <c r="A21" s="8" t="n">
        <v>15</v>
      </c>
      <c r="B21" s="8" t="n">
        <v>4</v>
      </c>
      <c r="C21" s="9" t="s">
        <v>61</v>
      </c>
      <c r="D21" s="9" t="s">
        <v>65</v>
      </c>
      <c r="E21" s="9" t="s">
        <v>66</v>
      </c>
      <c r="F21" s="9" t="s">
        <v>36</v>
      </c>
      <c r="G21" s="9" t="s">
        <v>22</v>
      </c>
      <c r="H21" s="8"/>
      <c r="I21" s="10" t="s">
        <v>23</v>
      </c>
      <c r="J21" s="10" t="s">
        <v>23</v>
      </c>
      <c r="K21" s="11" t="s">
        <v>24</v>
      </c>
      <c r="L21" s="11" t="s">
        <v>24</v>
      </c>
      <c r="M21" s="12"/>
      <c r="N21" s="8" t="s">
        <v>64</v>
      </c>
      <c r="O21" s="8" t="s">
        <v>26</v>
      </c>
      <c r="P21" s="8"/>
    </row>
    <row r="22" customFormat="false" ht="15" hidden="false" customHeight="true" outlineLevel="0" collapsed="false">
      <c r="A22" s="8" t="n">
        <v>16</v>
      </c>
      <c r="B22" s="8" t="n">
        <v>4</v>
      </c>
      <c r="C22" s="9" t="s">
        <v>61</v>
      </c>
      <c r="D22" s="9" t="s">
        <v>67</v>
      </c>
      <c r="E22" s="8"/>
      <c r="F22" s="9" t="s">
        <v>32</v>
      </c>
      <c r="G22" s="9" t="s">
        <v>52</v>
      </c>
      <c r="H22" s="9" t="s">
        <v>68</v>
      </c>
      <c r="I22" s="10" t="s">
        <v>23</v>
      </c>
      <c r="J22" s="10" t="s">
        <v>23</v>
      </c>
      <c r="K22" s="11" t="s">
        <v>24</v>
      </c>
      <c r="L22" s="11" t="s">
        <v>24</v>
      </c>
      <c r="M22" s="12"/>
      <c r="N22" s="8" t="s">
        <v>64</v>
      </c>
      <c r="O22" s="8" t="s">
        <v>26</v>
      </c>
      <c r="P22" s="8"/>
    </row>
    <row r="23" customFormat="false" ht="15" hidden="false" customHeight="true" outlineLevel="0" collapsed="false">
      <c r="A23" s="8" t="n">
        <v>17</v>
      </c>
      <c r="B23" s="8" t="n">
        <v>4</v>
      </c>
      <c r="C23" s="9" t="s">
        <v>61</v>
      </c>
      <c r="D23" s="9" t="s">
        <v>69</v>
      </c>
      <c r="E23" s="9" t="s">
        <v>70</v>
      </c>
      <c r="F23" s="9" t="s">
        <v>32</v>
      </c>
      <c r="G23" s="9" t="s">
        <v>29</v>
      </c>
      <c r="H23" s="9" t="s">
        <v>71</v>
      </c>
      <c r="I23" s="10" t="s">
        <v>23</v>
      </c>
      <c r="J23" s="10" t="s">
        <v>23</v>
      </c>
      <c r="K23" s="11" t="s">
        <v>24</v>
      </c>
      <c r="L23" s="11" t="s">
        <v>24</v>
      </c>
      <c r="M23" s="12"/>
      <c r="N23" s="8" t="s">
        <v>64</v>
      </c>
      <c r="O23" s="8" t="s">
        <v>26</v>
      </c>
      <c r="P23" s="8"/>
    </row>
    <row r="24" customFormat="false" ht="15" hidden="false" customHeight="true" outlineLevel="0" collapsed="false">
      <c r="A24" s="8" t="n">
        <v>18</v>
      </c>
      <c r="B24" s="8" t="n">
        <v>5</v>
      </c>
      <c r="C24" s="9" t="s">
        <v>72</v>
      </c>
      <c r="D24" s="9" t="s">
        <v>73</v>
      </c>
      <c r="E24" s="9" t="s">
        <v>74</v>
      </c>
      <c r="F24" s="9" t="s">
        <v>21</v>
      </c>
      <c r="G24" s="9" t="s">
        <v>22</v>
      </c>
      <c r="H24" s="8"/>
      <c r="I24" s="10" t="s">
        <v>23</v>
      </c>
      <c r="J24" s="10" t="s">
        <v>23</v>
      </c>
      <c r="K24" s="11" t="s">
        <v>24</v>
      </c>
      <c r="L24" s="11" t="s">
        <v>24</v>
      </c>
      <c r="M24" s="12"/>
      <c r="N24" s="8" t="s">
        <v>75</v>
      </c>
      <c r="O24" s="8" t="s">
        <v>26</v>
      </c>
      <c r="P24" s="8"/>
    </row>
    <row r="25" customFormat="false" ht="15" hidden="false" customHeight="true" outlineLevel="0" collapsed="false">
      <c r="A25" s="8" t="n">
        <v>19</v>
      </c>
      <c r="B25" s="8" t="n">
        <v>5</v>
      </c>
      <c r="C25" s="9" t="s">
        <v>72</v>
      </c>
      <c r="D25" s="9" t="s">
        <v>76</v>
      </c>
      <c r="E25" s="8"/>
      <c r="F25" s="9" t="s">
        <v>21</v>
      </c>
      <c r="G25" s="9" t="s">
        <v>22</v>
      </c>
      <c r="H25" s="8"/>
      <c r="I25" s="10" t="s">
        <v>23</v>
      </c>
      <c r="J25" s="10" t="s">
        <v>23</v>
      </c>
      <c r="K25" s="11" t="s">
        <v>24</v>
      </c>
      <c r="L25" s="11" t="s">
        <v>24</v>
      </c>
      <c r="M25" s="12"/>
      <c r="N25" s="8" t="s">
        <v>75</v>
      </c>
      <c r="O25" s="8" t="s">
        <v>26</v>
      </c>
      <c r="P25" s="8"/>
    </row>
    <row r="26" customFormat="false" ht="15" hidden="false" customHeight="true" outlineLevel="0" collapsed="false">
      <c r="A26" s="8" t="n">
        <v>20</v>
      </c>
      <c r="B26" s="8" t="n">
        <v>5</v>
      </c>
      <c r="C26" s="9" t="s">
        <v>72</v>
      </c>
      <c r="D26" s="9" t="s">
        <v>66</v>
      </c>
      <c r="E26" s="9" t="s">
        <v>77</v>
      </c>
      <c r="F26" s="9" t="s">
        <v>36</v>
      </c>
      <c r="G26" s="9" t="s">
        <v>22</v>
      </c>
      <c r="H26" s="8"/>
      <c r="I26" s="10" t="s">
        <v>23</v>
      </c>
      <c r="J26" s="10" t="s">
        <v>23</v>
      </c>
      <c r="K26" s="11" t="s">
        <v>24</v>
      </c>
      <c r="L26" s="11" t="s">
        <v>24</v>
      </c>
      <c r="M26" s="12"/>
      <c r="N26" s="8" t="s">
        <v>75</v>
      </c>
      <c r="O26" s="8" t="s">
        <v>26</v>
      </c>
      <c r="P26" s="8"/>
    </row>
    <row r="27" customFormat="false" ht="15" hidden="false" customHeight="true" outlineLevel="0" collapsed="false">
      <c r="A27" s="8" t="n">
        <v>21</v>
      </c>
      <c r="B27" s="8" t="n">
        <v>5</v>
      </c>
      <c r="C27" s="9" t="s">
        <v>72</v>
      </c>
      <c r="D27" s="9" t="s">
        <v>78</v>
      </c>
      <c r="E27" s="9" t="s">
        <v>79</v>
      </c>
      <c r="F27" s="9" t="s">
        <v>32</v>
      </c>
      <c r="G27" s="9" t="s">
        <v>29</v>
      </c>
      <c r="H27" s="8" t="s">
        <v>80</v>
      </c>
      <c r="I27" s="10" t="s">
        <v>23</v>
      </c>
      <c r="J27" s="10" t="s">
        <v>23</v>
      </c>
      <c r="K27" s="11" t="s">
        <v>24</v>
      </c>
      <c r="L27" s="11" t="s">
        <v>24</v>
      </c>
      <c r="M27" s="12"/>
      <c r="N27" s="8" t="s">
        <v>75</v>
      </c>
      <c r="O27" s="8" t="s">
        <v>26</v>
      </c>
      <c r="P27" s="8"/>
    </row>
    <row r="28" customFormat="false" ht="15" hidden="false" customHeight="true" outlineLevel="0" collapsed="false">
      <c r="A28" s="8" t="n">
        <v>22</v>
      </c>
      <c r="B28" s="8" t="n">
        <v>6</v>
      </c>
      <c r="C28" s="9" t="s">
        <v>81</v>
      </c>
      <c r="D28" s="9" t="s">
        <v>82</v>
      </c>
      <c r="E28" s="9" t="s">
        <v>83</v>
      </c>
      <c r="F28" s="9" t="s">
        <v>21</v>
      </c>
      <c r="G28" s="9" t="s">
        <v>22</v>
      </c>
      <c r="H28" s="8"/>
      <c r="I28" s="10" t="s">
        <v>23</v>
      </c>
      <c r="J28" s="10" t="s">
        <v>23</v>
      </c>
      <c r="K28" s="11" t="s">
        <v>24</v>
      </c>
      <c r="L28" s="11" t="s">
        <v>24</v>
      </c>
      <c r="M28" s="12"/>
      <c r="N28" s="8" t="s">
        <v>84</v>
      </c>
      <c r="O28" s="8" t="s">
        <v>26</v>
      </c>
      <c r="P28" s="8"/>
    </row>
    <row r="29" customFormat="false" ht="15" hidden="false" customHeight="true" outlineLevel="0" collapsed="false">
      <c r="A29" s="8" t="n">
        <v>23</v>
      </c>
      <c r="B29" s="8" t="n">
        <v>6</v>
      </c>
      <c r="C29" s="9" t="s">
        <v>81</v>
      </c>
      <c r="D29" s="9" t="s">
        <v>66</v>
      </c>
      <c r="E29" s="9" t="s">
        <v>85</v>
      </c>
      <c r="F29" s="9" t="s">
        <v>36</v>
      </c>
      <c r="G29" s="9" t="s">
        <v>22</v>
      </c>
      <c r="H29" s="8"/>
      <c r="I29" s="10" t="s">
        <v>23</v>
      </c>
      <c r="J29" s="10" t="s">
        <v>23</v>
      </c>
      <c r="K29" s="11" t="s">
        <v>24</v>
      </c>
      <c r="L29" s="11" t="s">
        <v>24</v>
      </c>
      <c r="M29" s="12"/>
      <c r="N29" s="8" t="s">
        <v>84</v>
      </c>
      <c r="O29" s="8" t="s">
        <v>26</v>
      </c>
      <c r="P29" s="8"/>
    </row>
    <row r="30" customFormat="false" ht="15" hidden="false" customHeight="true" outlineLevel="0" collapsed="false">
      <c r="A30" s="8" t="n">
        <v>24</v>
      </c>
      <c r="B30" s="8" t="n">
        <v>6</v>
      </c>
      <c r="C30" s="9" t="s">
        <v>81</v>
      </c>
      <c r="D30" s="9" t="s">
        <v>86</v>
      </c>
      <c r="E30" s="8"/>
      <c r="F30" s="9" t="s">
        <v>32</v>
      </c>
      <c r="G30" s="9" t="s">
        <v>29</v>
      </c>
      <c r="H30" s="9" t="s">
        <v>87</v>
      </c>
      <c r="I30" s="10" t="s">
        <v>23</v>
      </c>
      <c r="J30" s="10" t="s">
        <v>23</v>
      </c>
      <c r="K30" s="11" t="s">
        <v>24</v>
      </c>
      <c r="L30" s="11" t="s">
        <v>24</v>
      </c>
      <c r="M30" s="12"/>
      <c r="N30" s="8" t="s">
        <v>84</v>
      </c>
      <c r="O30" s="8" t="s">
        <v>26</v>
      </c>
      <c r="P30" s="8"/>
    </row>
    <row r="31" customFormat="false" ht="15" hidden="false" customHeight="true" outlineLevel="0" collapsed="false">
      <c r="A31" s="8" t="n">
        <v>25</v>
      </c>
      <c r="B31" s="8" t="n">
        <v>7</v>
      </c>
      <c r="C31" s="9" t="s">
        <v>88</v>
      </c>
      <c r="D31" s="9" t="s">
        <v>89</v>
      </c>
      <c r="E31" s="8" t="s">
        <v>90</v>
      </c>
      <c r="F31" s="9" t="s">
        <v>21</v>
      </c>
      <c r="G31" s="9" t="s">
        <v>22</v>
      </c>
      <c r="H31" s="8"/>
      <c r="I31" s="10" t="s">
        <v>23</v>
      </c>
      <c r="J31" s="10" t="s">
        <v>23</v>
      </c>
      <c r="K31" s="11" t="s">
        <v>24</v>
      </c>
      <c r="L31" s="11" t="s">
        <v>24</v>
      </c>
      <c r="M31" s="12"/>
      <c r="N31" s="8" t="s">
        <v>91</v>
      </c>
      <c r="O31" s="8" t="s">
        <v>26</v>
      </c>
      <c r="P31" s="8"/>
    </row>
    <row r="32" customFormat="false" ht="15" hidden="false" customHeight="true" outlineLevel="0" collapsed="false">
      <c r="A32" s="8" t="n">
        <v>26</v>
      </c>
      <c r="B32" s="8" t="n">
        <v>7</v>
      </c>
      <c r="C32" s="9" t="s">
        <v>88</v>
      </c>
      <c r="D32" s="9" t="s">
        <v>92</v>
      </c>
      <c r="E32" s="9" t="s">
        <v>93</v>
      </c>
      <c r="F32" s="9" t="s">
        <v>32</v>
      </c>
      <c r="G32" s="9" t="s">
        <v>29</v>
      </c>
      <c r="H32" s="9" t="s">
        <v>94</v>
      </c>
      <c r="I32" s="10" t="s">
        <v>23</v>
      </c>
      <c r="J32" s="10" t="s">
        <v>23</v>
      </c>
      <c r="K32" s="11" t="s">
        <v>24</v>
      </c>
      <c r="L32" s="11" t="s">
        <v>24</v>
      </c>
      <c r="M32" s="12"/>
      <c r="N32" s="8" t="s">
        <v>91</v>
      </c>
      <c r="O32" s="8" t="s">
        <v>26</v>
      </c>
      <c r="P32" s="8"/>
    </row>
    <row r="33" customFormat="false" ht="15" hidden="false" customHeight="true" outlineLevel="0" collapsed="false">
      <c r="A33" s="8" t="n">
        <v>27</v>
      </c>
      <c r="B33" s="8" t="n">
        <v>7</v>
      </c>
      <c r="C33" s="9" t="s">
        <v>88</v>
      </c>
      <c r="D33" s="9" t="s">
        <v>95</v>
      </c>
      <c r="E33" s="9" t="s">
        <v>96</v>
      </c>
      <c r="F33" s="9" t="s">
        <v>36</v>
      </c>
      <c r="G33" s="9" t="s">
        <v>22</v>
      </c>
      <c r="H33" s="8"/>
      <c r="I33" s="10" t="s">
        <v>23</v>
      </c>
      <c r="J33" s="10" t="s">
        <v>23</v>
      </c>
      <c r="K33" s="11" t="s">
        <v>24</v>
      </c>
      <c r="L33" s="11" t="s">
        <v>24</v>
      </c>
      <c r="M33" s="12"/>
      <c r="N33" s="8" t="s">
        <v>91</v>
      </c>
      <c r="O33" s="8" t="s">
        <v>26</v>
      </c>
      <c r="P33" s="8"/>
    </row>
    <row r="34" customFormat="false" ht="15" hidden="false" customHeight="true" outlineLevel="0" collapsed="false">
      <c r="A34" s="8" t="n">
        <v>28</v>
      </c>
      <c r="B34" s="8" t="n">
        <v>8</v>
      </c>
      <c r="C34" s="9" t="s">
        <v>97</v>
      </c>
      <c r="D34" s="9" t="s">
        <v>98</v>
      </c>
      <c r="E34" s="9" t="s">
        <v>99</v>
      </c>
      <c r="F34" s="9" t="s">
        <v>21</v>
      </c>
      <c r="G34" s="9" t="s">
        <v>22</v>
      </c>
      <c r="H34" s="8"/>
      <c r="I34" s="10" t="s">
        <v>23</v>
      </c>
      <c r="J34" s="10" t="s">
        <v>23</v>
      </c>
      <c r="K34" s="11" t="s">
        <v>24</v>
      </c>
      <c r="L34" s="11" t="s">
        <v>24</v>
      </c>
      <c r="M34" s="12"/>
      <c r="N34" s="8" t="s">
        <v>100</v>
      </c>
      <c r="O34" s="8" t="s">
        <v>26</v>
      </c>
      <c r="P34" s="8"/>
    </row>
    <row r="35" customFormat="false" ht="15" hidden="false" customHeight="true" outlineLevel="0" collapsed="false">
      <c r="A35" s="8" t="n">
        <v>29</v>
      </c>
      <c r="B35" s="8" t="n">
        <v>8</v>
      </c>
      <c r="C35" s="9" t="s">
        <v>97</v>
      </c>
      <c r="D35" s="9" t="s">
        <v>66</v>
      </c>
      <c r="E35" s="8" t="s">
        <v>101</v>
      </c>
      <c r="F35" s="9" t="s">
        <v>36</v>
      </c>
      <c r="G35" s="9" t="s">
        <v>22</v>
      </c>
      <c r="H35" s="8"/>
      <c r="I35" s="10" t="s">
        <v>23</v>
      </c>
      <c r="J35" s="10" t="s">
        <v>23</v>
      </c>
      <c r="K35" s="11" t="s">
        <v>24</v>
      </c>
      <c r="L35" s="11" t="s">
        <v>24</v>
      </c>
      <c r="M35" s="12"/>
      <c r="N35" s="8" t="s">
        <v>100</v>
      </c>
      <c r="O35" s="8" t="s">
        <v>26</v>
      </c>
      <c r="P35" s="8"/>
    </row>
    <row r="36" customFormat="false" ht="15" hidden="false" customHeight="true" outlineLevel="0" collapsed="false">
      <c r="A36" s="8" t="n">
        <v>30</v>
      </c>
      <c r="B36" s="8" t="n">
        <v>8</v>
      </c>
      <c r="C36" s="9" t="s">
        <v>97</v>
      </c>
      <c r="D36" s="9" t="s">
        <v>102</v>
      </c>
      <c r="E36" s="8"/>
      <c r="F36" s="9" t="s">
        <v>32</v>
      </c>
      <c r="G36" s="9" t="s">
        <v>29</v>
      </c>
      <c r="H36" s="9" t="s">
        <v>103</v>
      </c>
      <c r="I36" s="10" t="s">
        <v>23</v>
      </c>
      <c r="J36" s="10" t="s">
        <v>23</v>
      </c>
      <c r="K36" s="11" t="s">
        <v>24</v>
      </c>
      <c r="L36" s="11" t="s">
        <v>24</v>
      </c>
      <c r="M36" s="12"/>
      <c r="N36" s="8" t="s">
        <v>100</v>
      </c>
      <c r="O36" s="8" t="s">
        <v>26</v>
      </c>
      <c r="P36" s="8"/>
    </row>
    <row r="37" customFormat="false" ht="15" hidden="false" customHeight="true" outlineLevel="0" collapsed="false">
      <c r="A37" s="8" t="n">
        <v>31</v>
      </c>
      <c r="B37" s="8" t="n">
        <v>9</v>
      </c>
      <c r="C37" s="9" t="s">
        <v>104</v>
      </c>
      <c r="D37" s="9" t="s">
        <v>105</v>
      </c>
      <c r="E37" s="9" t="s">
        <v>106</v>
      </c>
      <c r="F37" s="9" t="s">
        <v>21</v>
      </c>
      <c r="G37" s="9" t="s">
        <v>22</v>
      </c>
      <c r="H37" s="8"/>
      <c r="I37" s="10" t="s">
        <v>23</v>
      </c>
      <c r="J37" s="10" t="s">
        <v>23</v>
      </c>
      <c r="K37" s="11" t="s">
        <v>24</v>
      </c>
      <c r="L37" s="11" t="s">
        <v>24</v>
      </c>
      <c r="M37" s="12"/>
      <c r="N37" s="8" t="s">
        <v>107</v>
      </c>
      <c r="O37" s="8" t="s">
        <v>26</v>
      </c>
      <c r="P37" s="8"/>
    </row>
    <row r="38" customFormat="false" ht="15" hidden="false" customHeight="true" outlineLevel="0" collapsed="false">
      <c r="A38" s="8" t="n">
        <v>32</v>
      </c>
      <c r="B38" s="8" t="n">
        <v>9</v>
      </c>
      <c r="C38" s="9" t="s">
        <v>104</v>
      </c>
      <c r="D38" s="9" t="s">
        <v>66</v>
      </c>
      <c r="E38" s="8" t="s">
        <v>108</v>
      </c>
      <c r="F38" s="9" t="s">
        <v>36</v>
      </c>
      <c r="G38" s="9" t="s">
        <v>22</v>
      </c>
      <c r="H38" s="8"/>
      <c r="I38" s="10" t="s">
        <v>23</v>
      </c>
      <c r="J38" s="10" t="s">
        <v>23</v>
      </c>
      <c r="K38" s="11" t="s">
        <v>24</v>
      </c>
      <c r="L38" s="11" t="s">
        <v>24</v>
      </c>
      <c r="M38" s="12"/>
      <c r="N38" s="8" t="s">
        <v>107</v>
      </c>
      <c r="O38" s="8" t="s">
        <v>26</v>
      </c>
      <c r="P38" s="8"/>
    </row>
    <row r="39" customFormat="false" ht="15" hidden="false" customHeight="true" outlineLevel="0" collapsed="false">
      <c r="A39" s="8" t="n">
        <v>33</v>
      </c>
      <c r="B39" s="8" t="n">
        <v>9</v>
      </c>
      <c r="C39" s="9" t="s">
        <v>104</v>
      </c>
      <c r="D39" s="9" t="s">
        <v>109</v>
      </c>
      <c r="E39" s="9" t="s">
        <v>110</v>
      </c>
      <c r="F39" s="9" t="s">
        <v>32</v>
      </c>
      <c r="G39" s="9" t="s">
        <v>29</v>
      </c>
      <c r="H39" s="9" t="s">
        <v>111</v>
      </c>
      <c r="I39" s="10" t="s">
        <v>23</v>
      </c>
      <c r="J39" s="10" t="s">
        <v>23</v>
      </c>
      <c r="K39" s="11" t="s">
        <v>24</v>
      </c>
      <c r="L39" s="11" t="s">
        <v>24</v>
      </c>
      <c r="M39" s="12"/>
      <c r="N39" s="8" t="s">
        <v>107</v>
      </c>
      <c r="O39" s="8" t="s">
        <v>26</v>
      </c>
      <c r="P39" s="8"/>
    </row>
    <row r="40" customFormat="false" ht="15" hidden="false" customHeight="true" outlineLevel="0" collapsed="false">
      <c r="A40" s="8" t="n">
        <v>34</v>
      </c>
      <c r="B40" s="8" t="n">
        <v>10</v>
      </c>
      <c r="C40" s="9" t="s">
        <v>112</v>
      </c>
      <c r="D40" s="9" t="s">
        <v>113</v>
      </c>
      <c r="E40" s="9" t="s">
        <v>114</v>
      </c>
      <c r="F40" s="9" t="s">
        <v>21</v>
      </c>
      <c r="G40" s="9" t="s">
        <v>22</v>
      </c>
      <c r="H40" s="8"/>
      <c r="I40" s="10" t="s">
        <v>23</v>
      </c>
      <c r="J40" s="10" t="s">
        <v>23</v>
      </c>
      <c r="K40" s="11" t="s">
        <v>24</v>
      </c>
      <c r="L40" s="11" t="s">
        <v>24</v>
      </c>
      <c r="M40" s="12"/>
      <c r="N40" s="8" t="s">
        <v>115</v>
      </c>
      <c r="O40" s="8" t="s">
        <v>26</v>
      </c>
      <c r="P40" s="8"/>
    </row>
    <row r="41" customFormat="false" ht="15" hidden="false" customHeight="true" outlineLevel="0" collapsed="false">
      <c r="A41" s="8" t="n">
        <v>35</v>
      </c>
      <c r="B41" s="8" t="n">
        <v>10</v>
      </c>
      <c r="C41" s="9" t="s">
        <v>112</v>
      </c>
      <c r="D41" s="9" t="s">
        <v>66</v>
      </c>
      <c r="E41" s="8" t="s">
        <v>116</v>
      </c>
      <c r="F41" s="9" t="s">
        <v>36</v>
      </c>
      <c r="G41" s="9" t="s">
        <v>22</v>
      </c>
      <c r="H41" s="8"/>
      <c r="I41" s="10" t="s">
        <v>23</v>
      </c>
      <c r="J41" s="10" t="s">
        <v>23</v>
      </c>
      <c r="K41" s="11" t="s">
        <v>24</v>
      </c>
      <c r="L41" s="11" t="s">
        <v>24</v>
      </c>
      <c r="M41" s="12"/>
      <c r="N41" s="8" t="s">
        <v>115</v>
      </c>
      <c r="O41" s="8" t="s">
        <v>26</v>
      </c>
      <c r="P41" s="8"/>
    </row>
    <row r="42" customFormat="false" ht="15" hidden="false" customHeight="true" outlineLevel="0" collapsed="false">
      <c r="A42" s="8" t="n">
        <v>36</v>
      </c>
      <c r="B42" s="8" t="n">
        <v>11</v>
      </c>
      <c r="C42" s="9" t="s">
        <v>117</v>
      </c>
      <c r="D42" s="9" t="s">
        <v>118</v>
      </c>
      <c r="E42" s="8"/>
      <c r="F42" s="9" t="s">
        <v>21</v>
      </c>
      <c r="G42" s="9" t="s">
        <v>22</v>
      </c>
      <c r="H42" s="8"/>
      <c r="I42" s="10" t="s">
        <v>23</v>
      </c>
      <c r="J42" s="10" t="s">
        <v>23</v>
      </c>
      <c r="K42" s="11" t="s">
        <v>24</v>
      </c>
      <c r="L42" s="11" t="s">
        <v>24</v>
      </c>
      <c r="M42" s="12"/>
      <c r="N42" s="8" t="s">
        <v>119</v>
      </c>
      <c r="O42" s="8" t="s">
        <v>26</v>
      </c>
      <c r="P42" s="8"/>
    </row>
    <row r="43" customFormat="false" ht="15" hidden="false" customHeight="true" outlineLevel="0" collapsed="false">
      <c r="A43" s="8" t="n">
        <v>37</v>
      </c>
      <c r="B43" s="8" t="n">
        <v>11</v>
      </c>
      <c r="C43" s="9" t="s">
        <v>117</v>
      </c>
      <c r="D43" s="9" t="s">
        <v>120</v>
      </c>
      <c r="E43" s="9" t="s">
        <v>121</v>
      </c>
      <c r="F43" s="9" t="s">
        <v>21</v>
      </c>
      <c r="G43" s="9" t="s">
        <v>22</v>
      </c>
      <c r="H43" s="8"/>
      <c r="I43" s="10" t="s">
        <v>23</v>
      </c>
      <c r="J43" s="10" t="s">
        <v>23</v>
      </c>
      <c r="K43" s="11" t="s">
        <v>24</v>
      </c>
      <c r="L43" s="11" t="s">
        <v>24</v>
      </c>
      <c r="M43" s="12"/>
      <c r="N43" s="8" t="s">
        <v>119</v>
      </c>
      <c r="O43" s="8" t="s">
        <v>26</v>
      </c>
      <c r="P43" s="8"/>
    </row>
    <row r="44" customFormat="false" ht="15" hidden="false" customHeight="true" outlineLevel="0" collapsed="false">
      <c r="A44" s="8" t="n">
        <v>38</v>
      </c>
      <c r="B44" s="8" t="n">
        <v>11</v>
      </c>
      <c r="C44" s="9" t="s">
        <v>117</v>
      </c>
      <c r="D44" s="9" t="s">
        <v>122</v>
      </c>
      <c r="E44" s="8"/>
      <c r="F44" s="9" t="s">
        <v>32</v>
      </c>
      <c r="G44" s="9" t="s">
        <v>29</v>
      </c>
      <c r="H44" s="9" t="s">
        <v>123</v>
      </c>
      <c r="I44" s="10" t="s">
        <v>23</v>
      </c>
      <c r="J44" s="10" t="s">
        <v>23</v>
      </c>
      <c r="K44" s="11" t="s">
        <v>24</v>
      </c>
      <c r="L44" s="11" t="s">
        <v>24</v>
      </c>
      <c r="M44" s="12"/>
      <c r="N44" s="8" t="s">
        <v>119</v>
      </c>
      <c r="O44" s="8" t="s">
        <v>26</v>
      </c>
      <c r="P44" s="8"/>
    </row>
    <row r="45" customFormat="false" ht="15" hidden="false" customHeight="true" outlineLevel="0" collapsed="false">
      <c r="A45" s="8" t="n">
        <v>39</v>
      </c>
      <c r="B45" s="8" t="n">
        <v>12</v>
      </c>
      <c r="C45" s="9" t="s">
        <v>124</v>
      </c>
      <c r="D45" s="9" t="s">
        <v>125</v>
      </c>
      <c r="E45" s="9" t="s">
        <v>126</v>
      </c>
      <c r="F45" s="9" t="s">
        <v>21</v>
      </c>
      <c r="G45" s="9" t="s">
        <v>22</v>
      </c>
      <c r="H45" s="8"/>
      <c r="I45" s="10" t="s">
        <v>23</v>
      </c>
      <c r="J45" s="10" t="s">
        <v>23</v>
      </c>
      <c r="K45" s="11" t="s">
        <v>24</v>
      </c>
      <c r="L45" s="11" t="s">
        <v>24</v>
      </c>
      <c r="M45" s="12"/>
      <c r="N45" s="8" t="s">
        <v>127</v>
      </c>
      <c r="O45" s="8" t="s">
        <v>26</v>
      </c>
      <c r="P45" s="8"/>
    </row>
    <row r="46" customFormat="false" ht="15" hidden="false" customHeight="true" outlineLevel="0" collapsed="false">
      <c r="A46" s="8" t="n">
        <v>40</v>
      </c>
      <c r="B46" s="8" t="n">
        <v>12</v>
      </c>
      <c r="C46" s="9" t="s">
        <v>124</v>
      </c>
      <c r="D46" s="9" t="s">
        <v>128</v>
      </c>
      <c r="E46" s="9" t="s">
        <v>129</v>
      </c>
      <c r="F46" s="9" t="s">
        <v>32</v>
      </c>
      <c r="G46" s="9" t="s">
        <v>22</v>
      </c>
      <c r="H46" s="8"/>
      <c r="I46" s="10" t="s">
        <v>23</v>
      </c>
      <c r="J46" s="10" t="s">
        <v>23</v>
      </c>
      <c r="K46" s="11" t="s">
        <v>24</v>
      </c>
      <c r="L46" s="11" t="s">
        <v>24</v>
      </c>
      <c r="M46" s="12"/>
      <c r="N46" s="8" t="s">
        <v>127</v>
      </c>
      <c r="O46" s="8" t="s">
        <v>26</v>
      </c>
      <c r="P46" s="8"/>
    </row>
    <row r="47" customFormat="false" ht="15" hidden="false" customHeight="true" outlineLevel="0" collapsed="false">
      <c r="A47" s="8" t="n">
        <v>41</v>
      </c>
      <c r="B47" s="8" t="n">
        <v>12</v>
      </c>
      <c r="C47" s="9" t="s">
        <v>124</v>
      </c>
      <c r="D47" s="9" t="s">
        <v>66</v>
      </c>
      <c r="E47" s="8" t="s">
        <v>130</v>
      </c>
      <c r="F47" s="9" t="s">
        <v>36</v>
      </c>
      <c r="G47" s="9" t="s">
        <v>22</v>
      </c>
      <c r="H47" s="8"/>
      <c r="I47" s="10" t="s">
        <v>23</v>
      </c>
      <c r="J47" s="10" t="s">
        <v>23</v>
      </c>
      <c r="K47" s="11" t="s">
        <v>24</v>
      </c>
      <c r="L47" s="11" t="s">
        <v>24</v>
      </c>
      <c r="M47" s="12"/>
      <c r="N47" s="8" t="s">
        <v>127</v>
      </c>
      <c r="O47" s="8" t="s">
        <v>26</v>
      </c>
      <c r="P47" s="8"/>
    </row>
    <row r="48" customFormat="false" ht="15" hidden="false" customHeight="true" outlineLevel="0" collapsed="false">
      <c r="A48" s="8" t="n">
        <v>42</v>
      </c>
      <c r="B48" s="8" t="n">
        <v>13</v>
      </c>
      <c r="C48" s="9" t="s">
        <v>131</v>
      </c>
      <c r="D48" s="9" t="s">
        <v>132</v>
      </c>
      <c r="E48" s="9" t="s">
        <v>133</v>
      </c>
      <c r="F48" s="9" t="s">
        <v>21</v>
      </c>
      <c r="G48" s="9" t="s">
        <v>22</v>
      </c>
      <c r="H48" s="8"/>
      <c r="I48" s="10" t="s">
        <v>23</v>
      </c>
      <c r="J48" s="10" t="s">
        <v>23</v>
      </c>
      <c r="K48" s="11" t="s">
        <v>24</v>
      </c>
      <c r="L48" s="11" t="s">
        <v>24</v>
      </c>
      <c r="M48" s="12"/>
      <c r="N48" s="8" t="s">
        <v>134</v>
      </c>
      <c r="O48" s="8" t="s">
        <v>26</v>
      </c>
      <c r="P48" s="8"/>
    </row>
    <row r="49" customFormat="false" ht="15" hidden="false" customHeight="true" outlineLevel="0" collapsed="false">
      <c r="A49" s="8" t="n">
        <v>43</v>
      </c>
      <c r="B49" s="8" t="n">
        <v>13</v>
      </c>
      <c r="C49" s="9" t="s">
        <v>131</v>
      </c>
      <c r="D49" s="9" t="s">
        <v>66</v>
      </c>
      <c r="E49" s="9" t="s">
        <v>85</v>
      </c>
      <c r="F49" s="9" t="s">
        <v>36</v>
      </c>
      <c r="G49" s="9" t="s">
        <v>22</v>
      </c>
      <c r="H49" s="8"/>
      <c r="I49" s="10" t="s">
        <v>23</v>
      </c>
      <c r="J49" s="10" t="s">
        <v>23</v>
      </c>
      <c r="K49" s="11" t="s">
        <v>24</v>
      </c>
      <c r="L49" s="11" t="s">
        <v>24</v>
      </c>
      <c r="M49" s="12"/>
      <c r="N49" s="8" t="s">
        <v>134</v>
      </c>
      <c r="O49" s="8" t="s">
        <v>26</v>
      </c>
      <c r="P49" s="8"/>
    </row>
    <row r="50" customFormat="false" ht="15" hidden="false" customHeight="true" outlineLevel="0" collapsed="false">
      <c r="A50" s="8" t="n">
        <v>44</v>
      </c>
      <c r="B50" s="8" t="n">
        <v>13</v>
      </c>
      <c r="C50" s="9" t="s">
        <v>131</v>
      </c>
      <c r="D50" s="9" t="s">
        <v>135</v>
      </c>
      <c r="E50" s="8"/>
      <c r="F50" s="9" t="s">
        <v>32</v>
      </c>
      <c r="G50" s="9" t="s">
        <v>29</v>
      </c>
      <c r="H50" s="8" t="s">
        <v>136</v>
      </c>
      <c r="I50" s="10" t="s">
        <v>23</v>
      </c>
      <c r="J50" s="10" t="s">
        <v>23</v>
      </c>
      <c r="K50" s="11" t="s">
        <v>24</v>
      </c>
      <c r="L50" s="11" t="s">
        <v>24</v>
      </c>
      <c r="M50" s="12"/>
      <c r="N50" s="8" t="s">
        <v>134</v>
      </c>
      <c r="O50" s="8" t="s">
        <v>26</v>
      </c>
      <c r="P50" s="8"/>
    </row>
    <row r="51" customFormat="false" ht="15" hidden="false" customHeight="true" outlineLevel="0" collapsed="false">
      <c r="A51" s="8" t="n">
        <v>45</v>
      </c>
      <c r="B51" s="8" t="n">
        <v>14</v>
      </c>
      <c r="C51" s="9" t="s">
        <v>137</v>
      </c>
      <c r="D51" s="9" t="s">
        <v>138</v>
      </c>
      <c r="E51" s="8"/>
      <c r="F51" s="9" t="s">
        <v>21</v>
      </c>
      <c r="G51" s="9" t="s">
        <v>22</v>
      </c>
      <c r="H51" s="8"/>
      <c r="I51" s="10" t="s">
        <v>23</v>
      </c>
      <c r="J51" s="10" t="s">
        <v>23</v>
      </c>
      <c r="K51" s="11" t="s">
        <v>24</v>
      </c>
      <c r="L51" s="11" t="s">
        <v>24</v>
      </c>
      <c r="M51" s="12"/>
      <c r="N51" s="8" t="s">
        <v>139</v>
      </c>
      <c r="O51" s="8" t="s">
        <v>26</v>
      </c>
      <c r="P51" s="8"/>
    </row>
    <row r="52" customFormat="false" ht="15" hidden="false" customHeight="true" outlineLevel="0" collapsed="false">
      <c r="A52" s="8" t="n">
        <v>46</v>
      </c>
      <c r="B52" s="8" t="n">
        <v>14</v>
      </c>
      <c r="C52" s="9" t="s">
        <v>137</v>
      </c>
      <c r="D52" s="9" t="s">
        <v>140</v>
      </c>
      <c r="E52" s="9" t="s">
        <v>141</v>
      </c>
      <c r="F52" s="9" t="s">
        <v>36</v>
      </c>
      <c r="G52" s="9" t="s">
        <v>22</v>
      </c>
      <c r="H52" s="8"/>
      <c r="I52" s="10" t="s">
        <v>23</v>
      </c>
      <c r="J52" s="10" t="s">
        <v>23</v>
      </c>
      <c r="K52" s="11" t="s">
        <v>24</v>
      </c>
      <c r="L52" s="11" t="s">
        <v>24</v>
      </c>
      <c r="M52" s="12"/>
      <c r="N52" s="8" t="s">
        <v>139</v>
      </c>
      <c r="O52" s="8" t="s">
        <v>26</v>
      </c>
      <c r="P52" s="8"/>
    </row>
    <row r="53" customFormat="false" ht="15" hidden="false" customHeight="true" outlineLevel="0" collapsed="false">
      <c r="A53" s="8" t="n">
        <v>47</v>
      </c>
      <c r="B53" s="8" t="n">
        <v>14</v>
      </c>
      <c r="C53" s="9" t="s">
        <v>137</v>
      </c>
      <c r="D53" s="9" t="s">
        <v>142</v>
      </c>
      <c r="E53" s="9" t="s">
        <v>143</v>
      </c>
      <c r="F53" s="9" t="s">
        <v>32</v>
      </c>
      <c r="G53" s="9" t="s">
        <v>29</v>
      </c>
      <c r="H53" s="9" t="s">
        <v>144</v>
      </c>
      <c r="I53" s="10" t="s">
        <v>23</v>
      </c>
      <c r="J53" s="10" t="s">
        <v>23</v>
      </c>
      <c r="K53" s="11" t="s">
        <v>24</v>
      </c>
      <c r="L53" s="11" t="s">
        <v>24</v>
      </c>
      <c r="M53" s="12"/>
      <c r="N53" s="8" t="s">
        <v>139</v>
      </c>
      <c r="O53" s="8" t="s">
        <v>26</v>
      </c>
      <c r="P53" s="8"/>
    </row>
    <row r="54" customFormat="false" ht="15" hidden="false" customHeight="true" outlineLevel="0" collapsed="false">
      <c r="A54" s="8" t="n">
        <v>48</v>
      </c>
      <c r="B54" s="8" t="n">
        <v>15</v>
      </c>
      <c r="C54" s="9" t="s">
        <v>145</v>
      </c>
      <c r="D54" s="9" t="s">
        <v>146</v>
      </c>
      <c r="E54" s="9" t="s">
        <v>147</v>
      </c>
      <c r="F54" s="9" t="s">
        <v>21</v>
      </c>
      <c r="G54" s="9" t="s">
        <v>22</v>
      </c>
      <c r="H54" s="8"/>
      <c r="I54" s="10" t="s">
        <v>23</v>
      </c>
      <c r="J54" s="10" t="s">
        <v>23</v>
      </c>
      <c r="K54" s="11" t="s">
        <v>24</v>
      </c>
      <c r="L54" s="11" t="s">
        <v>24</v>
      </c>
      <c r="M54" s="12"/>
      <c r="N54" s="8" t="s">
        <v>148</v>
      </c>
      <c r="O54" s="8" t="s">
        <v>26</v>
      </c>
      <c r="P54" s="8"/>
    </row>
    <row r="55" customFormat="false" ht="15" hidden="false" customHeight="true" outlineLevel="0" collapsed="false">
      <c r="A55" s="8" t="n">
        <v>49</v>
      </c>
      <c r="B55" s="8" t="n">
        <v>15</v>
      </c>
      <c r="C55" s="9" t="s">
        <v>145</v>
      </c>
      <c r="D55" s="9" t="s">
        <v>149</v>
      </c>
      <c r="E55" s="8"/>
      <c r="F55" s="9" t="s">
        <v>21</v>
      </c>
      <c r="G55" s="9" t="s">
        <v>29</v>
      </c>
      <c r="H55" s="9" t="s">
        <v>150</v>
      </c>
      <c r="I55" s="10" t="s">
        <v>23</v>
      </c>
      <c r="J55" s="10" t="s">
        <v>23</v>
      </c>
      <c r="K55" s="11" t="s">
        <v>24</v>
      </c>
      <c r="L55" s="11" t="s">
        <v>24</v>
      </c>
      <c r="M55" s="12"/>
      <c r="N55" s="8" t="s">
        <v>148</v>
      </c>
      <c r="O55" s="8" t="s">
        <v>26</v>
      </c>
      <c r="P55" s="8"/>
    </row>
    <row r="56" customFormat="false" ht="15" hidden="false" customHeight="true" outlineLevel="0" collapsed="false">
      <c r="A56" s="8" t="n">
        <v>50</v>
      </c>
      <c r="B56" s="8" t="n">
        <v>15</v>
      </c>
      <c r="C56" s="9" t="s">
        <v>145</v>
      </c>
      <c r="D56" s="9" t="s">
        <v>66</v>
      </c>
      <c r="E56" s="8" t="s">
        <v>151</v>
      </c>
      <c r="F56" s="9" t="s">
        <v>36</v>
      </c>
      <c r="G56" s="9" t="s">
        <v>22</v>
      </c>
      <c r="H56" s="8"/>
      <c r="I56" s="10" t="s">
        <v>23</v>
      </c>
      <c r="J56" s="10" t="s">
        <v>23</v>
      </c>
      <c r="K56" s="11" t="s">
        <v>24</v>
      </c>
      <c r="L56" s="11" t="s">
        <v>24</v>
      </c>
      <c r="M56" s="12"/>
      <c r="N56" s="8" t="s">
        <v>148</v>
      </c>
      <c r="O56" s="8" t="s">
        <v>26</v>
      </c>
      <c r="P56" s="8"/>
    </row>
    <row r="57" customFormat="false" ht="15" hidden="false" customHeight="true" outlineLevel="0" collapsed="false">
      <c r="A57" s="8" t="n">
        <v>51</v>
      </c>
      <c r="B57" s="8" t="n">
        <v>16</v>
      </c>
      <c r="C57" s="9" t="s">
        <v>152</v>
      </c>
      <c r="D57" s="9" t="s">
        <v>153</v>
      </c>
      <c r="E57" s="8"/>
      <c r="F57" s="9" t="s">
        <v>21</v>
      </c>
      <c r="G57" s="9" t="s">
        <v>29</v>
      </c>
      <c r="H57" s="9" t="s">
        <v>154</v>
      </c>
      <c r="I57" s="10" t="s">
        <v>23</v>
      </c>
      <c r="J57" s="10" t="s">
        <v>23</v>
      </c>
      <c r="K57" s="11" t="s">
        <v>24</v>
      </c>
      <c r="L57" s="11" t="s">
        <v>24</v>
      </c>
      <c r="M57" s="12"/>
      <c r="N57" s="8" t="s">
        <v>155</v>
      </c>
      <c r="O57" s="8" t="s">
        <v>26</v>
      </c>
      <c r="P57" s="8"/>
    </row>
    <row r="58" customFormat="false" ht="15" hidden="false" customHeight="true" outlineLevel="0" collapsed="false">
      <c r="A58" s="8" t="n">
        <v>52</v>
      </c>
      <c r="B58" s="8" t="n">
        <v>17</v>
      </c>
      <c r="C58" s="9" t="s">
        <v>156</v>
      </c>
      <c r="D58" s="9" t="s">
        <v>157</v>
      </c>
      <c r="E58" s="8"/>
      <c r="F58" s="9" t="s">
        <v>21</v>
      </c>
      <c r="G58" s="9" t="s">
        <v>29</v>
      </c>
      <c r="H58" s="9" t="s">
        <v>154</v>
      </c>
      <c r="I58" s="10" t="s">
        <v>23</v>
      </c>
      <c r="J58" s="10" t="s">
        <v>23</v>
      </c>
      <c r="K58" s="11" t="s">
        <v>24</v>
      </c>
      <c r="L58" s="11" t="s">
        <v>24</v>
      </c>
      <c r="M58" s="12"/>
      <c r="N58" s="8" t="s">
        <v>158</v>
      </c>
      <c r="O58" s="8" t="s">
        <v>26</v>
      </c>
      <c r="P58" s="8"/>
    </row>
    <row r="59" customFormat="false" ht="15" hidden="false" customHeight="true" outlineLevel="0" collapsed="false">
      <c r="A59" s="8" t="n">
        <v>53</v>
      </c>
      <c r="B59" s="8" t="n">
        <v>18</v>
      </c>
      <c r="C59" s="9" t="s">
        <v>159</v>
      </c>
      <c r="D59" s="9" t="s">
        <v>160</v>
      </c>
      <c r="E59" s="9" t="s">
        <v>161</v>
      </c>
      <c r="F59" s="9" t="s">
        <v>21</v>
      </c>
      <c r="G59" s="9" t="s">
        <v>22</v>
      </c>
      <c r="H59" s="8"/>
      <c r="I59" s="10" t="s">
        <v>23</v>
      </c>
      <c r="J59" s="10" t="s">
        <v>23</v>
      </c>
      <c r="K59" s="11" t="s">
        <v>24</v>
      </c>
      <c r="L59" s="11" t="s">
        <v>24</v>
      </c>
      <c r="M59" s="12"/>
      <c r="N59" s="8" t="s">
        <v>162</v>
      </c>
      <c r="O59" s="8" t="s">
        <v>26</v>
      </c>
      <c r="P59" s="8"/>
    </row>
    <row r="60" customFormat="false" ht="15" hidden="false" customHeight="true" outlineLevel="0" collapsed="false">
      <c r="A60" s="8" t="n">
        <v>54</v>
      </c>
      <c r="B60" s="8" t="n">
        <v>18</v>
      </c>
      <c r="C60" s="9" t="s">
        <v>159</v>
      </c>
      <c r="D60" s="9" t="s">
        <v>66</v>
      </c>
      <c r="E60" s="9" t="s">
        <v>85</v>
      </c>
      <c r="F60" s="9" t="s">
        <v>36</v>
      </c>
      <c r="G60" s="9" t="s">
        <v>22</v>
      </c>
      <c r="H60" s="8"/>
      <c r="I60" s="10" t="s">
        <v>23</v>
      </c>
      <c r="J60" s="10" t="s">
        <v>23</v>
      </c>
      <c r="K60" s="11" t="s">
        <v>24</v>
      </c>
      <c r="L60" s="11" t="s">
        <v>24</v>
      </c>
      <c r="M60" s="12"/>
      <c r="N60" s="8" t="s">
        <v>162</v>
      </c>
      <c r="O60" s="8" t="s">
        <v>26</v>
      </c>
      <c r="P60" s="8"/>
    </row>
    <row r="61" customFormat="false" ht="15" hidden="false" customHeight="true" outlineLevel="0" collapsed="false">
      <c r="A61" s="8" t="n">
        <v>55</v>
      </c>
      <c r="B61" s="8" t="n">
        <v>18</v>
      </c>
      <c r="C61" s="9" t="s">
        <v>159</v>
      </c>
      <c r="D61" s="9" t="s">
        <v>163</v>
      </c>
      <c r="E61" s="8"/>
      <c r="F61" s="9" t="s">
        <v>32</v>
      </c>
      <c r="G61" s="9" t="s">
        <v>29</v>
      </c>
      <c r="H61" s="9" t="s">
        <v>164</v>
      </c>
      <c r="I61" s="10" t="s">
        <v>23</v>
      </c>
      <c r="J61" s="10" t="s">
        <v>23</v>
      </c>
      <c r="K61" s="11" t="s">
        <v>24</v>
      </c>
      <c r="L61" s="11" t="s">
        <v>24</v>
      </c>
      <c r="M61" s="12"/>
      <c r="N61" s="8" t="s">
        <v>162</v>
      </c>
      <c r="O61" s="8" t="s">
        <v>26</v>
      </c>
      <c r="P61" s="8"/>
    </row>
    <row r="62" customFormat="false" ht="15" hidden="false" customHeight="true" outlineLevel="0" collapsed="false">
      <c r="A62" s="8" t="n">
        <v>56</v>
      </c>
      <c r="B62" s="8" t="n">
        <v>19</v>
      </c>
      <c r="C62" s="9" t="s">
        <v>165</v>
      </c>
      <c r="D62" s="9" t="s">
        <v>166</v>
      </c>
      <c r="E62" s="8" t="s">
        <v>167</v>
      </c>
      <c r="F62" s="9" t="s">
        <v>21</v>
      </c>
      <c r="G62" s="9" t="s">
        <v>22</v>
      </c>
      <c r="H62" s="8"/>
      <c r="I62" s="10" t="s">
        <v>23</v>
      </c>
      <c r="J62" s="10" t="s">
        <v>23</v>
      </c>
      <c r="K62" s="11" t="s">
        <v>24</v>
      </c>
      <c r="L62" s="11" t="s">
        <v>24</v>
      </c>
      <c r="M62" s="12"/>
      <c r="N62" s="8" t="s">
        <v>168</v>
      </c>
      <c r="O62" s="8" t="s">
        <v>26</v>
      </c>
      <c r="P62" s="8"/>
    </row>
    <row r="63" customFormat="false" ht="15" hidden="false" customHeight="true" outlineLevel="0" collapsed="false">
      <c r="A63" s="8" t="n">
        <v>57</v>
      </c>
      <c r="B63" s="8" t="n">
        <v>19</v>
      </c>
      <c r="C63" s="9" t="s">
        <v>165</v>
      </c>
      <c r="D63" s="9" t="s">
        <v>66</v>
      </c>
      <c r="E63" s="9" t="s">
        <v>85</v>
      </c>
      <c r="F63" s="9" t="s">
        <v>36</v>
      </c>
      <c r="G63" s="9" t="s">
        <v>22</v>
      </c>
      <c r="H63" s="8"/>
      <c r="I63" s="10" t="s">
        <v>23</v>
      </c>
      <c r="J63" s="10" t="s">
        <v>23</v>
      </c>
      <c r="K63" s="11" t="s">
        <v>24</v>
      </c>
      <c r="L63" s="11" t="s">
        <v>24</v>
      </c>
      <c r="M63" s="12"/>
      <c r="N63" s="8" t="s">
        <v>168</v>
      </c>
      <c r="O63" s="8" t="s">
        <v>26</v>
      </c>
      <c r="P63" s="8"/>
    </row>
    <row r="64" customFormat="false" ht="15" hidden="false" customHeight="true" outlineLevel="0" collapsed="false">
      <c r="A64" s="8" t="n">
        <v>58</v>
      </c>
      <c r="B64" s="8" t="n">
        <v>19</v>
      </c>
      <c r="C64" s="9" t="s">
        <v>165</v>
      </c>
      <c r="D64" s="8" t="s">
        <v>169</v>
      </c>
      <c r="E64" s="8"/>
      <c r="F64" s="9" t="s">
        <v>32</v>
      </c>
      <c r="G64" s="9" t="s">
        <v>29</v>
      </c>
      <c r="H64" s="9" t="s">
        <v>170</v>
      </c>
      <c r="I64" s="10" t="s">
        <v>23</v>
      </c>
      <c r="J64" s="10" t="s">
        <v>23</v>
      </c>
      <c r="K64" s="11" t="s">
        <v>24</v>
      </c>
      <c r="L64" s="11" t="s">
        <v>24</v>
      </c>
      <c r="M64" s="12"/>
      <c r="N64" s="8" t="s">
        <v>168</v>
      </c>
      <c r="O64" s="8" t="s">
        <v>26</v>
      </c>
      <c r="P64" s="8"/>
    </row>
    <row r="65" customFormat="false" ht="15" hidden="false" customHeight="true" outlineLevel="0" collapsed="false">
      <c r="A65" s="8" t="n">
        <v>59</v>
      </c>
      <c r="B65" s="8" t="n">
        <v>20</v>
      </c>
      <c r="C65" s="9" t="s">
        <v>171</v>
      </c>
      <c r="D65" s="9" t="s">
        <v>172</v>
      </c>
      <c r="E65" s="9" t="s">
        <v>173</v>
      </c>
      <c r="F65" s="9" t="s">
        <v>21</v>
      </c>
      <c r="G65" s="9" t="s">
        <v>22</v>
      </c>
      <c r="H65" s="8"/>
      <c r="I65" s="10" t="s">
        <v>23</v>
      </c>
      <c r="J65" s="10" t="s">
        <v>23</v>
      </c>
      <c r="K65" s="11" t="s">
        <v>24</v>
      </c>
      <c r="L65" s="11" t="s">
        <v>24</v>
      </c>
      <c r="M65" s="12"/>
      <c r="N65" s="8" t="s">
        <v>174</v>
      </c>
      <c r="O65" s="8" t="s">
        <v>26</v>
      </c>
      <c r="P65" s="8"/>
    </row>
    <row r="66" customFormat="false" ht="15" hidden="false" customHeight="true" outlineLevel="0" collapsed="false">
      <c r="A66" s="8" t="n">
        <v>60</v>
      </c>
      <c r="B66" s="8" t="n">
        <v>20</v>
      </c>
      <c r="C66" s="9" t="s">
        <v>171</v>
      </c>
      <c r="D66" s="9" t="s">
        <v>175</v>
      </c>
      <c r="E66" s="8"/>
      <c r="F66" s="9" t="s">
        <v>21</v>
      </c>
      <c r="G66" s="9" t="s">
        <v>29</v>
      </c>
      <c r="H66" s="9" t="s">
        <v>176</v>
      </c>
      <c r="I66" s="10" t="s">
        <v>23</v>
      </c>
      <c r="J66" s="10" t="s">
        <v>23</v>
      </c>
      <c r="K66" s="11" t="s">
        <v>24</v>
      </c>
      <c r="L66" s="11" t="s">
        <v>24</v>
      </c>
      <c r="M66" s="12"/>
      <c r="N66" s="8" t="s">
        <v>174</v>
      </c>
      <c r="O66" s="8" t="s">
        <v>26</v>
      </c>
      <c r="P66" s="8"/>
    </row>
    <row r="67" customFormat="false" ht="15" hidden="false" customHeight="true" outlineLevel="0" collapsed="false">
      <c r="A67" s="8" t="n">
        <v>61</v>
      </c>
      <c r="B67" s="8" t="n">
        <v>21</v>
      </c>
      <c r="C67" s="9" t="s">
        <v>177</v>
      </c>
      <c r="D67" s="9" t="s">
        <v>178</v>
      </c>
      <c r="E67" s="9" t="s">
        <v>179</v>
      </c>
      <c r="F67" s="9" t="s">
        <v>21</v>
      </c>
      <c r="G67" s="9" t="s">
        <v>22</v>
      </c>
      <c r="H67" s="8"/>
      <c r="I67" s="10" t="s">
        <v>23</v>
      </c>
      <c r="J67" s="10" t="s">
        <v>23</v>
      </c>
      <c r="K67" s="11" t="s">
        <v>24</v>
      </c>
      <c r="L67" s="11" t="s">
        <v>24</v>
      </c>
      <c r="M67" s="12"/>
      <c r="N67" s="8" t="s">
        <v>180</v>
      </c>
      <c r="O67" s="8" t="s">
        <v>26</v>
      </c>
      <c r="P67" s="8"/>
    </row>
    <row r="68" customFormat="false" ht="15" hidden="false" customHeight="true" outlineLevel="0" collapsed="false">
      <c r="A68" s="8" t="n">
        <v>62</v>
      </c>
      <c r="B68" s="8" t="n">
        <v>21</v>
      </c>
      <c r="C68" s="9" t="s">
        <v>177</v>
      </c>
      <c r="D68" s="9" t="s">
        <v>181</v>
      </c>
      <c r="E68" s="9" t="s">
        <v>182</v>
      </c>
      <c r="F68" s="9" t="s">
        <v>32</v>
      </c>
      <c r="G68" s="9" t="s">
        <v>22</v>
      </c>
      <c r="H68" s="8"/>
      <c r="I68" s="10" t="s">
        <v>23</v>
      </c>
      <c r="J68" s="10" t="s">
        <v>23</v>
      </c>
      <c r="K68" s="11" t="s">
        <v>24</v>
      </c>
      <c r="L68" s="11" t="s">
        <v>24</v>
      </c>
      <c r="M68" s="12"/>
      <c r="N68" s="8" t="s">
        <v>180</v>
      </c>
      <c r="O68" s="8" t="s">
        <v>26</v>
      </c>
      <c r="P68" s="8"/>
    </row>
    <row r="69" customFormat="false" ht="15" hidden="false" customHeight="true" outlineLevel="0" collapsed="false">
      <c r="A69" s="8" t="n">
        <v>63</v>
      </c>
      <c r="B69" s="8" t="n">
        <v>21</v>
      </c>
      <c r="C69" s="9" t="s">
        <v>177</v>
      </c>
      <c r="D69" s="9" t="s">
        <v>183</v>
      </c>
      <c r="E69" s="8"/>
      <c r="F69" s="9" t="s">
        <v>36</v>
      </c>
      <c r="G69" s="9" t="s">
        <v>22</v>
      </c>
      <c r="H69" s="8"/>
      <c r="I69" s="10" t="s">
        <v>23</v>
      </c>
      <c r="J69" s="10" t="s">
        <v>23</v>
      </c>
      <c r="K69" s="11" t="s">
        <v>24</v>
      </c>
      <c r="L69" s="11" t="s">
        <v>24</v>
      </c>
      <c r="M69" s="12"/>
      <c r="N69" s="8" t="s">
        <v>180</v>
      </c>
      <c r="O69" s="8" t="s">
        <v>26</v>
      </c>
      <c r="P69" s="8"/>
    </row>
    <row r="70" customFormat="false" ht="15" hidden="false" customHeight="true" outlineLevel="0" collapsed="false">
      <c r="A70" s="8" t="n">
        <v>64</v>
      </c>
      <c r="B70" s="8" t="n">
        <v>22</v>
      </c>
      <c r="C70" s="9" t="s">
        <v>184</v>
      </c>
      <c r="D70" s="9" t="s">
        <v>185</v>
      </c>
      <c r="E70" s="9" t="s">
        <v>186</v>
      </c>
      <c r="F70" s="9" t="s">
        <v>21</v>
      </c>
      <c r="G70" s="9" t="s">
        <v>22</v>
      </c>
      <c r="H70" s="8"/>
      <c r="I70" s="10" t="s">
        <v>23</v>
      </c>
      <c r="J70" s="10" t="s">
        <v>23</v>
      </c>
      <c r="K70" s="11" t="s">
        <v>24</v>
      </c>
      <c r="L70" s="11" t="s">
        <v>24</v>
      </c>
      <c r="M70" s="12"/>
      <c r="N70" s="8" t="s">
        <v>187</v>
      </c>
      <c r="O70" s="8" t="s">
        <v>26</v>
      </c>
      <c r="P70" s="8"/>
    </row>
    <row r="71" customFormat="false" ht="15" hidden="false" customHeight="true" outlineLevel="0" collapsed="false">
      <c r="A71" s="8" t="n">
        <v>65</v>
      </c>
      <c r="B71" s="8" t="n">
        <v>22</v>
      </c>
      <c r="C71" s="9" t="s">
        <v>184</v>
      </c>
      <c r="D71" s="9" t="s">
        <v>188</v>
      </c>
      <c r="E71" s="9" t="s">
        <v>189</v>
      </c>
      <c r="F71" s="9" t="s">
        <v>36</v>
      </c>
      <c r="G71" s="9" t="s">
        <v>22</v>
      </c>
      <c r="H71" s="8"/>
      <c r="I71" s="10" t="s">
        <v>23</v>
      </c>
      <c r="J71" s="10" t="s">
        <v>23</v>
      </c>
      <c r="K71" s="11" t="s">
        <v>24</v>
      </c>
      <c r="L71" s="11" t="s">
        <v>24</v>
      </c>
      <c r="M71" s="12"/>
      <c r="N71" s="8" t="s">
        <v>187</v>
      </c>
      <c r="O71" s="8" t="s">
        <v>26</v>
      </c>
      <c r="P71" s="8"/>
    </row>
    <row r="72" customFormat="false" ht="15" hidden="false" customHeight="true" outlineLevel="0" collapsed="false">
      <c r="A72" s="8" t="n">
        <v>66</v>
      </c>
      <c r="B72" s="8" t="n">
        <v>22</v>
      </c>
      <c r="C72" s="9" t="s">
        <v>184</v>
      </c>
      <c r="D72" s="9" t="s">
        <v>190</v>
      </c>
      <c r="E72" s="9" t="s">
        <v>191</v>
      </c>
      <c r="F72" s="9" t="s">
        <v>32</v>
      </c>
      <c r="G72" s="9" t="s">
        <v>22</v>
      </c>
      <c r="H72" s="8"/>
      <c r="I72" s="10" t="s">
        <v>23</v>
      </c>
      <c r="J72" s="10" t="s">
        <v>23</v>
      </c>
      <c r="K72" s="11" t="s">
        <v>24</v>
      </c>
      <c r="L72" s="11" t="s">
        <v>24</v>
      </c>
      <c r="M72" s="12"/>
      <c r="N72" s="8" t="s">
        <v>187</v>
      </c>
      <c r="O72" s="8" t="s">
        <v>26</v>
      </c>
      <c r="P72" s="8"/>
    </row>
    <row r="73" customFormat="false" ht="15" hidden="false" customHeight="true" outlineLevel="0" collapsed="false">
      <c r="A73" s="8" t="n">
        <v>67</v>
      </c>
      <c r="B73" s="8" t="n">
        <v>23</v>
      </c>
      <c r="C73" s="9" t="s">
        <v>192</v>
      </c>
      <c r="D73" s="9" t="s">
        <v>193</v>
      </c>
      <c r="E73" s="8"/>
      <c r="F73" s="9" t="s">
        <v>21</v>
      </c>
      <c r="G73" s="9" t="s">
        <v>22</v>
      </c>
      <c r="H73" s="8"/>
      <c r="I73" s="10" t="s">
        <v>23</v>
      </c>
      <c r="J73" s="10" t="s">
        <v>23</v>
      </c>
      <c r="K73" s="11" t="s">
        <v>24</v>
      </c>
      <c r="L73" s="11" t="s">
        <v>24</v>
      </c>
      <c r="M73" s="12"/>
      <c r="N73" s="8" t="s">
        <v>194</v>
      </c>
      <c r="O73" s="8" t="s">
        <v>26</v>
      </c>
      <c r="P73" s="8"/>
    </row>
    <row r="74" customFormat="false" ht="15" hidden="false" customHeight="true" outlineLevel="0" collapsed="false">
      <c r="A74" s="8" t="n">
        <v>68</v>
      </c>
      <c r="B74" s="8" t="n">
        <v>23</v>
      </c>
      <c r="C74" s="9" t="s">
        <v>192</v>
      </c>
      <c r="D74" s="9" t="s">
        <v>66</v>
      </c>
      <c r="E74" s="9" t="s">
        <v>195</v>
      </c>
      <c r="F74" s="9" t="s">
        <v>36</v>
      </c>
      <c r="G74" s="9" t="s">
        <v>22</v>
      </c>
      <c r="H74" s="8"/>
      <c r="I74" s="10" t="s">
        <v>23</v>
      </c>
      <c r="J74" s="10" t="s">
        <v>23</v>
      </c>
      <c r="K74" s="11" t="s">
        <v>24</v>
      </c>
      <c r="L74" s="11" t="s">
        <v>24</v>
      </c>
      <c r="M74" s="12"/>
      <c r="N74" s="8" t="s">
        <v>194</v>
      </c>
      <c r="O74" s="8" t="s">
        <v>26</v>
      </c>
      <c r="P74" s="8"/>
    </row>
    <row r="75" customFormat="false" ht="15" hidden="false" customHeight="true" outlineLevel="0" collapsed="false">
      <c r="A75" s="8" t="n">
        <v>69</v>
      </c>
      <c r="B75" s="8" t="n">
        <v>23</v>
      </c>
      <c r="C75" s="9" t="s">
        <v>192</v>
      </c>
      <c r="D75" s="9" t="s">
        <v>196</v>
      </c>
      <c r="E75" s="9" t="s">
        <v>197</v>
      </c>
      <c r="F75" s="9" t="s">
        <v>32</v>
      </c>
      <c r="G75" s="9" t="s">
        <v>22</v>
      </c>
      <c r="H75" s="8"/>
      <c r="I75" s="10" t="s">
        <v>23</v>
      </c>
      <c r="J75" s="10" t="s">
        <v>23</v>
      </c>
      <c r="K75" s="11" t="s">
        <v>24</v>
      </c>
      <c r="L75" s="11" t="s">
        <v>24</v>
      </c>
      <c r="M75" s="12"/>
      <c r="N75" s="8" t="s">
        <v>194</v>
      </c>
      <c r="O75" s="8" t="s">
        <v>26</v>
      </c>
      <c r="P75" s="8"/>
    </row>
    <row r="76" customFormat="false" ht="15" hidden="false" customHeight="true" outlineLevel="0" collapsed="false">
      <c r="A76" s="8" t="n">
        <v>70</v>
      </c>
      <c r="B76" s="8" t="n">
        <v>24</v>
      </c>
      <c r="C76" s="9" t="s">
        <v>198</v>
      </c>
      <c r="D76" s="9" t="s">
        <v>199</v>
      </c>
      <c r="E76" s="8"/>
      <c r="F76" s="9" t="s">
        <v>21</v>
      </c>
      <c r="G76" s="9" t="s">
        <v>22</v>
      </c>
      <c r="H76" s="8"/>
      <c r="I76" s="10" t="s">
        <v>23</v>
      </c>
      <c r="J76" s="10"/>
      <c r="K76" s="11" t="s">
        <v>24</v>
      </c>
      <c r="L76" s="11" t="s">
        <v>24</v>
      </c>
      <c r="M76" s="12"/>
      <c r="N76" s="8" t="s">
        <v>200</v>
      </c>
      <c r="O76" s="8" t="s">
        <v>26</v>
      </c>
      <c r="P76" s="8"/>
    </row>
    <row r="77" customFormat="false" ht="15" hidden="false" customHeight="true" outlineLevel="0" collapsed="false">
      <c r="A77" s="8" t="n">
        <v>71</v>
      </c>
      <c r="B77" s="8" t="n">
        <v>24</v>
      </c>
      <c r="C77" s="9" t="s">
        <v>198</v>
      </c>
      <c r="D77" s="9" t="s">
        <v>201</v>
      </c>
      <c r="E77" s="8"/>
      <c r="F77" s="9" t="s">
        <v>32</v>
      </c>
      <c r="G77" s="9" t="s">
        <v>29</v>
      </c>
      <c r="H77" s="9" t="s">
        <v>202</v>
      </c>
      <c r="I77" s="10" t="s">
        <v>23</v>
      </c>
      <c r="J77" s="10"/>
      <c r="K77" s="11" t="s">
        <v>24</v>
      </c>
      <c r="L77" s="11" t="s">
        <v>24</v>
      </c>
      <c r="M77" s="12"/>
      <c r="N77" s="8" t="s">
        <v>200</v>
      </c>
      <c r="O77" s="8" t="s">
        <v>26</v>
      </c>
      <c r="P77" s="8"/>
    </row>
    <row r="78" customFormat="false" ht="15" hidden="false" customHeight="true" outlineLevel="0" collapsed="false">
      <c r="A78" s="8" t="n">
        <v>72</v>
      </c>
      <c r="B78" s="8" t="n">
        <v>25</v>
      </c>
      <c r="C78" s="9" t="s">
        <v>203</v>
      </c>
      <c r="D78" s="9" t="s">
        <v>204</v>
      </c>
      <c r="E78" s="8"/>
      <c r="F78" s="9" t="s">
        <v>21</v>
      </c>
      <c r="G78" s="9" t="s">
        <v>22</v>
      </c>
      <c r="H78" s="8"/>
      <c r="I78" s="10" t="s">
        <v>23</v>
      </c>
      <c r="J78" s="10" t="s">
        <v>23</v>
      </c>
      <c r="K78" s="11" t="s">
        <v>24</v>
      </c>
      <c r="L78" s="11" t="s">
        <v>24</v>
      </c>
      <c r="M78" s="12"/>
      <c r="N78" s="8" t="s">
        <v>205</v>
      </c>
      <c r="O78" s="8" t="s">
        <v>26</v>
      </c>
      <c r="P78" s="8"/>
    </row>
    <row r="79" customFormat="false" ht="15" hidden="false" customHeight="true" outlineLevel="0" collapsed="false">
      <c r="A79" s="8" t="n">
        <v>73</v>
      </c>
      <c r="B79" s="8" t="n">
        <v>25</v>
      </c>
      <c r="C79" s="9" t="s">
        <v>203</v>
      </c>
      <c r="D79" s="9" t="s">
        <v>206</v>
      </c>
      <c r="E79" s="8"/>
      <c r="F79" s="9" t="s">
        <v>32</v>
      </c>
      <c r="G79" s="9" t="s">
        <v>29</v>
      </c>
      <c r="H79" s="9" t="s">
        <v>207</v>
      </c>
      <c r="I79" s="10" t="s">
        <v>23</v>
      </c>
      <c r="J79" s="10" t="s">
        <v>23</v>
      </c>
      <c r="K79" s="11" t="s">
        <v>24</v>
      </c>
      <c r="L79" s="11" t="s">
        <v>24</v>
      </c>
      <c r="M79" s="12"/>
      <c r="N79" s="8" t="s">
        <v>205</v>
      </c>
      <c r="O79" s="8" t="s">
        <v>26</v>
      </c>
      <c r="P79" s="8"/>
    </row>
    <row r="80" customFormat="false" ht="15" hidden="false" customHeight="true" outlineLevel="0" collapsed="false">
      <c r="A80" s="8" t="n">
        <v>74</v>
      </c>
      <c r="B80" s="8" t="n">
        <v>25</v>
      </c>
      <c r="C80" s="9" t="s">
        <v>203</v>
      </c>
      <c r="D80" s="9" t="s">
        <v>208</v>
      </c>
      <c r="E80" s="9" t="s">
        <v>209</v>
      </c>
      <c r="F80" s="9" t="s">
        <v>21</v>
      </c>
      <c r="G80" s="9" t="s">
        <v>22</v>
      </c>
      <c r="H80" s="8"/>
      <c r="I80" s="10" t="s">
        <v>23</v>
      </c>
      <c r="J80" s="10" t="s">
        <v>23</v>
      </c>
      <c r="K80" s="11" t="s">
        <v>24</v>
      </c>
      <c r="L80" s="11" t="s">
        <v>24</v>
      </c>
      <c r="M80" s="12"/>
      <c r="N80" s="8" t="s">
        <v>205</v>
      </c>
      <c r="O80" s="8" t="s">
        <v>26</v>
      </c>
      <c r="P80" s="8"/>
    </row>
    <row r="81" customFormat="false" ht="15" hidden="false" customHeight="true" outlineLevel="0" collapsed="false">
      <c r="A81" s="8" t="n">
        <v>75</v>
      </c>
      <c r="B81" s="8" t="n">
        <v>25</v>
      </c>
      <c r="C81" s="9" t="s">
        <v>203</v>
      </c>
      <c r="D81" s="9" t="s">
        <v>210</v>
      </c>
      <c r="E81" s="8" t="s">
        <v>211</v>
      </c>
      <c r="F81" s="9" t="s">
        <v>36</v>
      </c>
      <c r="G81" s="9" t="s">
        <v>22</v>
      </c>
      <c r="H81" s="8"/>
      <c r="I81" s="10" t="s">
        <v>23</v>
      </c>
      <c r="J81" s="10" t="s">
        <v>23</v>
      </c>
      <c r="K81" s="11" t="s">
        <v>24</v>
      </c>
      <c r="L81" s="11" t="s">
        <v>24</v>
      </c>
      <c r="M81" s="12"/>
      <c r="N81" s="8" t="s">
        <v>205</v>
      </c>
      <c r="O81" s="8" t="s">
        <v>26</v>
      </c>
      <c r="P81" s="8"/>
    </row>
    <row r="82" customFormat="false" ht="15" hidden="false" customHeight="true" outlineLevel="0" collapsed="false">
      <c r="A82" s="8" t="n">
        <v>76</v>
      </c>
      <c r="B82" s="8" t="n">
        <v>26</v>
      </c>
      <c r="C82" s="9" t="s">
        <v>212</v>
      </c>
      <c r="D82" s="9" t="s">
        <v>213</v>
      </c>
      <c r="E82" s="9" t="s">
        <v>214</v>
      </c>
      <c r="F82" s="9" t="s">
        <v>32</v>
      </c>
      <c r="G82" s="9" t="s">
        <v>215</v>
      </c>
      <c r="H82" s="9" t="s">
        <v>216</v>
      </c>
      <c r="I82" s="10" t="s">
        <v>23</v>
      </c>
      <c r="J82" s="10" t="s">
        <v>23</v>
      </c>
      <c r="K82" s="11" t="s">
        <v>24</v>
      </c>
      <c r="L82" s="11" t="s">
        <v>24</v>
      </c>
      <c r="M82" s="12"/>
      <c r="N82" s="8" t="s">
        <v>217</v>
      </c>
      <c r="O82" s="8" t="s">
        <v>26</v>
      </c>
      <c r="P82" s="8"/>
    </row>
    <row r="83" customFormat="false" ht="15" hidden="false" customHeight="true" outlineLevel="0" collapsed="false">
      <c r="A83" s="8" t="n">
        <v>77</v>
      </c>
      <c r="B83" s="8" t="n">
        <v>26</v>
      </c>
      <c r="C83" s="9" t="s">
        <v>212</v>
      </c>
      <c r="D83" s="9" t="s">
        <v>218</v>
      </c>
      <c r="E83" s="8"/>
      <c r="F83" s="9" t="s">
        <v>21</v>
      </c>
      <c r="G83" s="9" t="s">
        <v>29</v>
      </c>
      <c r="H83" s="9" t="s">
        <v>219</v>
      </c>
      <c r="I83" s="10" t="s">
        <v>23</v>
      </c>
      <c r="J83" s="10" t="s">
        <v>23</v>
      </c>
      <c r="K83" s="11" t="s">
        <v>24</v>
      </c>
      <c r="L83" s="11" t="s">
        <v>24</v>
      </c>
      <c r="M83" s="12"/>
      <c r="N83" s="8" t="s">
        <v>217</v>
      </c>
      <c r="O83" s="8" t="s">
        <v>26</v>
      </c>
      <c r="P83" s="8"/>
    </row>
    <row r="84" customFormat="false" ht="15" hidden="false" customHeight="true" outlineLevel="0" collapsed="false">
      <c r="A84" s="8" t="n">
        <v>78</v>
      </c>
      <c r="B84" s="8" t="n">
        <v>26</v>
      </c>
      <c r="C84" s="9" t="s">
        <v>212</v>
      </c>
      <c r="D84" s="9" t="s">
        <v>220</v>
      </c>
      <c r="E84" s="8"/>
      <c r="F84" s="9" t="s">
        <v>21</v>
      </c>
      <c r="G84" s="9" t="s">
        <v>215</v>
      </c>
      <c r="H84" s="9" t="s">
        <v>221</v>
      </c>
      <c r="I84" s="10" t="s">
        <v>23</v>
      </c>
      <c r="J84" s="10" t="s">
        <v>23</v>
      </c>
      <c r="K84" s="11" t="s">
        <v>24</v>
      </c>
      <c r="L84" s="11" t="s">
        <v>24</v>
      </c>
      <c r="M84" s="12"/>
      <c r="N84" s="8" t="s">
        <v>217</v>
      </c>
      <c r="O84" s="8" t="s">
        <v>26</v>
      </c>
      <c r="P84" s="8"/>
    </row>
    <row r="85" customFormat="false" ht="15" hidden="false" customHeight="true" outlineLevel="0" collapsed="false">
      <c r="A85" s="8" t="n">
        <v>79</v>
      </c>
      <c r="B85" s="8" t="n">
        <v>26</v>
      </c>
      <c r="C85" s="9" t="s">
        <v>212</v>
      </c>
      <c r="D85" s="9" t="s">
        <v>222</v>
      </c>
      <c r="E85" s="8" t="s">
        <v>223</v>
      </c>
      <c r="F85" s="9" t="s">
        <v>36</v>
      </c>
      <c r="G85" s="9" t="s">
        <v>22</v>
      </c>
      <c r="H85" s="8"/>
      <c r="I85" s="10" t="s">
        <v>23</v>
      </c>
      <c r="J85" s="10" t="s">
        <v>23</v>
      </c>
      <c r="K85" s="11" t="s">
        <v>24</v>
      </c>
      <c r="L85" s="11" t="s">
        <v>24</v>
      </c>
      <c r="M85" s="12"/>
      <c r="N85" s="8" t="s">
        <v>217</v>
      </c>
      <c r="O85" s="8" t="s">
        <v>26</v>
      </c>
      <c r="P85" s="8"/>
    </row>
    <row r="86" customFormat="false" ht="15" hidden="false" customHeight="true" outlineLevel="0" collapsed="false">
      <c r="A86" s="8" t="n">
        <v>80</v>
      </c>
      <c r="B86" s="8" t="n">
        <v>27</v>
      </c>
      <c r="C86" s="9" t="s">
        <v>224</v>
      </c>
      <c r="D86" s="9" t="s">
        <v>224</v>
      </c>
      <c r="E86" s="8" t="s">
        <v>225</v>
      </c>
      <c r="F86" s="9" t="s">
        <v>21</v>
      </c>
      <c r="G86" s="9" t="s">
        <v>22</v>
      </c>
      <c r="H86" s="8"/>
      <c r="I86" s="10" t="s">
        <v>23</v>
      </c>
      <c r="J86" s="10" t="s">
        <v>23</v>
      </c>
      <c r="K86" s="11" t="s">
        <v>24</v>
      </c>
      <c r="L86" s="11" t="s">
        <v>24</v>
      </c>
      <c r="M86" s="12"/>
      <c r="N86" s="8" t="s">
        <v>226</v>
      </c>
      <c r="O86" s="8" t="s">
        <v>26</v>
      </c>
      <c r="P86" s="8"/>
    </row>
    <row r="87" customFormat="false" ht="15" hidden="false" customHeight="true" outlineLevel="0" collapsed="false">
      <c r="A87" s="8" t="n">
        <v>81</v>
      </c>
      <c r="B87" s="8" t="n">
        <v>28</v>
      </c>
      <c r="C87" s="9" t="s">
        <v>227</v>
      </c>
      <c r="D87" s="9" t="s">
        <v>228</v>
      </c>
      <c r="E87" s="8"/>
      <c r="F87" s="9" t="s">
        <v>21</v>
      </c>
      <c r="G87" s="9" t="s">
        <v>22</v>
      </c>
      <c r="H87" s="8"/>
      <c r="I87" s="10" t="s">
        <v>23</v>
      </c>
      <c r="J87" s="10" t="s">
        <v>23</v>
      </c>
      <c r="K87" s="11" t="s">
        <v>24</v>
      </c>
      <c r="L87" s="11" t="s">
        <v>24</v>
      </c>
      <c r="M87" s="12"/>
      <c r="N87" s="8" t="s">
        <v>229</v>
      </c>
      <c r="O87" s="8" t="s">
        <v>26</v>
      </c>
      <c r="P87" s="8"/>
    </row>
    <row r="88" customFormat="false" ht="15" hidden="false" customHeight="true" outlineLevel="0" collapsed="false">
      <c r="A88" s="8" t="n">
        <v>82</v>
      </c>
      <c r="B88" s="8" t="n">
        <v>28</v>
      </c>
      <c r="C88" s="9" t="s">
        <v>227</v>
      </c>
      <c r="D88" s="9" t="s">
        <v>230</v>
      </c>
      <c r="E88" s="8"/>
      <c r="F88" s="9" t="s">
        <v>21</v>
      </c>
      <c r="G88" s="9" t="s">
        <v>29</v>
      </c>
      <c r="H88" s="9" t="s">
        <v>231</v>
      </c>
      <c r="I88" s="10" t="s">
        <v>23</v>
      </c>
      <c r="J88" s="10" t="s">
        <v>23</v>
      </c>
      <c r="K88" s="11" t="s">
        <v>24</v>
      </c>
      <c r="L88" s="11" t="s">
        <v>24</v>
      </c>
      <c r="M88" s="12"/>
      <c r="N88" s="8" t="s">
        <v>229</v>
      </c>
      <c r="O88" s="8" t="s">
        <v>26</v>
      </c>
      <c r="P88" s="8"/>
    </row>
  </sheetData>
  <mergeCells count="3">
    <mergeCell ref="A2:P2"/>
    <mergeCell ref="A3:P3"/>
    <mergeCell ref="A4:P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7"/>
    <col collapsed="false" customWidth="true" hidden="false" outlineLevel="0" max="3" min="3" style="1" width="22"/>
    <col collapsed="false" customWidth="true" hidden="false" outlineLevel="0" max="4" min="4" style="1" width="9"/>
    <col collapsed="false" customWidth="true" hidden="false" outlineLevel="0" max="5" min="5" style="1" width="50"/>
    <col collapsed="false" customWidth="true" hidden="false" outlineLevel="0" max="9" min="6" style="1" width="7"/>
    <col collapsed="false" customWidth="true" hidden="false" outlineLevel="0" max="10" min="10" style="1" width="30"/>
    <col collapsed="false" customWidth="true" hidden="false" outlineLevel="0" max="11" min="11" style="1" width="44"/>
    <col collapsed="false" customWidth="true" hidden="false" outlineLevel="0" max="12" min="12" style="1" width="30"/>
    <col collapsed="false" customWidth="true" hidden="false" outlineLevel="0" max="13" min="13" style="1" width="18"/>
  </cols>
  <sheetData>
    <row r="1" customFormat="false" ht="6" hidden="false" customHeight="true" outlineLevel="0" collapsed="false"/>
    <row r="2" customFormat="false" ht="25.5" hidden="false" customHeight="true" outlineLevel="0" collapsed="false">
      <c r="A2" s="2" t="s">
        <v>232</v>
      </c>
      <c r="B2" s="2"/>
      <c r="C2" s="2"/>
      <c r="D2" s="2"/>
      <c r="E2" s="2"/>
      <c r="F2" s="2"/>
      <c r="G2" s="2"/>
      <c r="H2" s="2"/>
      <c r="I2" s="2"/>
      <c r="J2" s="2"/>
      <c r="K2" s="2"/>
      <c r="L2" s="2"/>
      <c r="M2" s="2"/>
    </row>
    <row r="3" customFormat="false" ht="18" hidden="false" customHeight="true" outlineLevel="0" collapsed="false">
      <c r="A3" s="3" t="s">
        <v>1</v>
      </c>
      <c r="B3" s="3"/>
      <c r="C3" s="3"/>
      <c r="D3" s="3"/>
      <c r="E3" s="3"/>
      <c r="F3" s="3"/>
      <c r="G3" s="3"/>
      <c r="H3" s="3"/>
      <c r="I3" s="3"/>
      <c r="J3" s="3"/>
      <c r="K3" s="3"/>
      <c r="L3" s="3"/>
      <c r="M3" s="3"/>
    </row>
    <row r="4" customFormat="false" ht="15" hidden="false" customHeight="true" outlineLevel="0" collapsed="false">
      <c r="A4" s="4" t="s">
        <v>2</v>
      </c>
      <c r="B4" s="4"/>
      <c r="C4" s="4"/>
      <c r="D4" s="4"/>
      <c r="E4" s="4"/>
      <c r="F4" s="4"/>
      <c r="G4" s="4"/>
      <c r="H4" s="4"/>
      <c r="I4" s="4"/>
      <c r="J4" s="4"/>
      <c r="K4" s="4"/>
      <c r="L4" s="4"/>
      <c r="M4" s="4"/>
    </row>
    <row r="5" customFormat="false" ht="3.75" hidden="false" customHeight="true" outlineLevel="0" collapsed="false"/>
    <row r="6" customFormat="false" ht="31.5" hidden="false" customHeight="true" outlineLevel="0" collapsed="false">
      <c r="A6" s="5" t="s">
        <v>3</v>
      </c>
      <c r="B6" s="6" t="s">
        <v>4</v>
      </c>
      <c r="C6" s="6" t="s">
        <v>5</v>
      </c>
      <c r="D6" s="5" t="s">
        <v>233</v>
      </c>
      <c r="E6" s="6" t="s">
        <v>234</v>
      </c>
      <c r="F6" s="6" t="s">
        <v>11</v>
      </c>
      <c r="G6" s="6" t="s">
        <v>12</v>
      </c>
      <c r="H6" s="7" t="s">
        <v>235</v>
      </c>
      <c r="I6" s="7" t="s">
        <v>14</v>
      </c>
      <c r="J6" s="7" t="s">
        <v>236</v>
      </c>
      <c r="K6" s="6" t="s">
        <v>237</v>
      </c>
      <c r="L6" s="6" t="s">
        <v>17</v>
      </c>
      <c r="M6" s="6" t="s">
        <v>18</v>
      </c>
    </row>
    <row r="7" customFormat="false" ht="15" hidden="false" customHeight="true" outlineLevel="0" collapsed="false">
      <c r="A7" s="8" t="n">
        <v>1</v>
      </c>
      <c r="B7" s="8" t="n">
        <v>1</v>
      </c>
      <c r="C7" s="9" t="s">
        <v>19</v>
      </c>
      <c r="D7" s="8" t="s">
        <v>238</v>
      </c>
      <c r="E7" s="13" t="s">
        <v>239</v>
      </c>
      <c r="F7" s="10" t="s">
        <v>23</v>
      </c>
      <c r="G7" s="10"/>
      <c r="H7" s="11" t="s">
        <v>24</v>
      </c>
      <c r="I7" s="11" t="s">
        <v>24</v>
      </c>
      <c r="J7" s="12"/>
      <c r="K7" s="8"/>
      <c r="L7" s="9" t="s">
        <v>240</v>
      </c>
      <c r="M7" s="8"/>
    </row>
    <row r="8" customFormat="false" ht="15" hidden="false" customHeight="true" outlineLevel="0" collapsed="false">
      <c r="A8" s="8" t="n">
        <v>2</v>
      </c>
      <c r="B8" s="8" t="n">
        <v>1</v>
      </c>
      <c r="C8" s="9" t="s">
        <v>19</v>
      </c>
      <c r="D8" s="8" t="s">
        <v>241</v>
      </c>
      <c r="E8" s="13" t="s">
        <v>242</v>
      </c>
      <c r="F8" s="10" t="s">
        <v>23</v>
      </c>
      <c r="G8" s="10"/>
      <c r="H8" s="11" t="s">
        <v>24</v>
      </c>
      <c r="I8" s="11" t="s">
        <v>24</v>
      </c>
      <c r="J8" s="12"/>
      <c r="K8" s="8"/>
      <c r="L8" s="9" t="s">
        <v>240</v>
      </c>
      <c r="M8" s="8"/>
    </row>
    <row r="9" customFormat="false" ht="15" hidden="false" customHeight="true" outlineLevel="0" collapsed="false">
      <c r="A9" s="8" t="n">
        <v>3</v>
      </c>
      <c r="B9" s="8" t="n">
        <v>1</v>
      </c>
      <c r="C9" s="9" t="s">
        <v>19</v>
      </c>
      <c r="D9" s="8" t="s">
        <v>243</v>
      </c>
      <c r="E9" s="13" t="s">
        <v>244</v>
      </c>
      <c r="F9" s="10" t="s">
        <v>23</v>
      </c>
      <c r="G9" s="10"/>
      <c r="H9" s="11" t="s">
        <v>24</v>
      </c>
      <c r="I9" s="11" t="s">
        <v>24</v>
      </c>
      <c r="J9" s="12"/>
      <c r="K9" s="8"/>
      <c r="L9" s="9" t="s">
        <v>240</v>
      </c>
      <c r="M9" s="8"/>
    </row>
    <row r="10" customFormat="false" ht="15" hidden="false" customHeight="true" outlineLevel="0" collapsed="false">
      <c r="A10" s="8" t="n">
        <v>4</v>
      </c>
      <c r="B10" s="8" t="n">
        <v>1</v>
      </c>
      <c r="C10" s="9" t="s">
        <v>19</v>
      </c>
      <c r="D10" s="8" t="s">
        <v>245</v>
      </c>
      <c r="E10" s="13" t="s">
        <v>246</v>
      </c>
      <c r="F10" s="10" t="s">
        <v>23</v>
      </c>
      <c r="G10" s="10"/>
      <c r="H10" s="11" t="s">
        <v>24</v>
      </c>
      <c r="I10" s="11" t="s">
        <v>24</v>
      </c>
      <c r="J10" s="12"/>
      <c r="K10" s="8"/>
      <c r="L10" s="9" t="s">
        <v>240</v>
      </c>
      <c r="M10" s="8"/>
    </row>
    <row r="11" customFormat="false" ht="15" hidden="false" customHeight="true" outlineLevel="0" collapsed="false">
      <c r="A11" s="8" t="n">
        <v>5</v>
      </c>
      <c r="B11" s="8" t="n">
        <v>1</v>
      </c>
      <c r="C11" s="9" t="s">
        <v>19</v>
      </c>
      <c r="D11" s="8" t="s">
        <v>247</v>
      </c>
      <c r="E11" s="13" t="s">
        <v>248</v>
      </c>
      <c r="F11" s="10" t="s">
        <v>23</v>
      </c>
      <c r="G11" s="10"/>
      <c r="H11" s="11" t="s">
        <v>24</v>
      </c>
      <c r="I11" s="11" t="s">
        <v>24</v>
      </c>
      <c r="J11" s="12"/>
      <c r="K11" s="8"/>
      <c r="L11" s="9" t="s">
        <v>240</v>
      </c>
      <c r="M11" s="8"/>
    </row>
    <row r="12" customFormat="false" ht="15" hidden="false" customHeight="true" outlineLevel="0" collapsed="false">
      <c r="A12" s="8" t="n">
        <v>6</v>
      </c>
      <c r="B12" s="8" t="n">
        <v>1</v>
      </c>
      <c r="C12" s="9" t="s">
        <v>19</v>
      </c>
      <c r="D12" s="8" t="s">
        <v>249</v>
      </c>
      <c r="E12" s="13" t="s">
        <v>250</v>
      </c>
      <c r="F12" s="10" t="s">
        <v>23</v>
      </c>
      <c r="G12" s="10"/>
      <c r="H12" s="11" t="s">
        <v>24</v>
      </c>
      <c r="I12" s="11" t="s">
        <v>24</v>
      </c>
      <c r="J12" s="12"/>
      <c r="K12" s="8"/>
      <c r="L12" s="9" t="s">
        <v>240</v>
      </c>
      <c r="M12" s="8"/>
    </row>
    <row r="13" customFormat="false" ht="15" hidden="false" customHeight="true" outlineLevel="0" collapsed="false">
      <c r="A13" s="8" t="n">
        <v>7</v>
      </c>
      <c r="B13" s="8" t="n">
        <v>1</v>
      </c>
      <c r="C13" s="9" t="s">
        <v>19</v>
      </c>
      <c r="D13" s="8" t="s">
        <v>251</v>
      </c>
      <c r="E13" s="13" t="s">
        <v>252</v>
      </c>
      <c r="F13" s="10" t="s">
        <v>23</v>
      </c>
      <c r="G13" s="10"/>
      <c r="H13" s="11" t="s">
        <v>24</v>
      </c>
      <c r="I13" s="11" t="s">
        <v>24</v>
      </c>
      <c r="J13" s="12"/>
      <c r="K13" s="8"/>
      <c r="L13" s="9" t="s">
        <v>240</v>
      </c>
      <c r="M13" s="8"/>
    </row>
    <row r="14" customFormat="false" ht="15" hidden="false" customHeight="true" outlineLevel="0" collapsed="false">
      <c r="A14" s="8" t="n">
        <v>8</v>
      </c>
      <c r="B14" s="8" t="n">
        <v>2</v>
      </c>
      <c r="C14" s="9" t="s">
        <v>39</v>
      </c>
      <c r="D14" s="8" t="s">
        <v>253</v>
      </c>
      <c r="E14" s="13" t="s">
        <v>239</v>
      </c>
      <c r="F14" s="10" t="s">
        <v>23</v>
      </c>
      <c r="G14" s="10"/>
      <c r="H14" s="11" t="s">
        <v>24</v>
      </c>
      <c r="I14" s="11" t="s">
        <v>24</v>
      </c>
      <c r="J14" s="12"/>
      <c r="K14" s="8"/>
      <c r="L14" s="9" t="s">
        <v>240</v>
      </c>
      <c r="M14" s="8"/>
    </row>
    <row r="15" customFormat="false" ht="15" hidden="false" customHeight="true" outlineLevel="0" collapsed="false">
      <c r="A15" s="8" t="n">
        <v>9</v>
      </c>
      <c r="B15" s="8" t="n">
        <v>2</v>
      </c>
      <c r="C15" s="9" t="s">
        <v>39</v>
      </c>
      <c r="D15" s="8" t="s">
        <v>254</v>
      </c>
      <c r="E15" s="13" t="s">
        <v>255</v>
      </c>
      <c r="F15" s="10" t="s">
        <v>23</v>
      </c>
      <c r="G15" s="10"/>
      <c r="H15" s="11" t="s">
        <v>24</v>
      </c>
      <c r="I15" s="11" t="s">
        <v>24</v>
      </c>
      <c r="J15" s="12"/>
      <c r="K15" s="8"/>
      <c r="L15" s="9" t="s">
        <v>240</v>
      </c>
      <c r="M15" s="8"/>
    </row>
    <row r="16" customFormat="false" ht="15" hidden="false" customHeight="true" outlineLevel="0" collapsed="false">
      <c r="A16" s="8" t="n">
        <v>10</v>
      </c>
      <c r="B16" s="8" t="n">
        <v>2</v>
      </c>
      <c r="C16" s="9" t="s">
        <v>39</v>
      </c>
      <c r="D16" s="8" t="s">
        <v>256</v>
      </c>
      <c r="E16" s="13" t="s">
        <v>257</v>
      </c>
      <c r="F16" s="10" t="s">
        <v>23</v>
      </c>
      <c r="G16" s="10"/>
      <c r="H16" s="11" t="s">
        <v>24</v>
      </c>
      <c r="I16" s="11" t="s">
        <v>24</v>
      </c>
      <c r="J16" s="12"/>
      <c r="K16" s="8"/>
      <c r="L16" s="9" t="s">
        <v>240</v>
      </c>
      <c r="M16" s="8"/>
    </row>
    <row r="17" customFormat="false" ht="15" hidden="false" customHeight="true" outlineLevel="0" collapsed="false">
      <c r="A17" s="8" t="n">
        <v>11</v>
      </c>
      <c r="B17" s="8" t="n">
        <v>2</v>
      </c>
      <c r="C17" s="9" t="s">
        <v>39</v>
      </c>
      <c r="D17" s="8" t="s">
        <v>258</v>
      </c>
      <c r="E17" s="13" t="s">
        <v>259</v>
      </c>
      <c r="F17" s="10" t="s">
        <v>23</v>
      </c>
      <c r="G17" s="10"/>
      <c r="H17" s="11" t="s">
        <v>24</v>
      </c>
      <c r="I17" s="11" t="s">
        <v>24</v>
      </c>
      <c r="J17" s="12"/>
      <c r="K17" s="8"/>
      <c r="L17" s="9" t="s">
        <v>240</v>
      </c>
      <c r="M17" s="8"/>
    </row>
    <row r="18" customFormat="false" ht="15" hidden="false" customHeight="true" outlineLevel="0" collapsed="false">
      <c r="A18" s="8" t="n">
        <v>12</v>
      </c>
      <c r="B18" s="8" t="n">
        <v>2</v>
      </c>
      <c r="C18" s="9" t="s">
        <v>39</v>
      </c>
      <c r="D18" s="8" t="s">
        <v>260</v>
      </c>
      <c r="E18" s="13" t="s">
        <v>261</v>
      </c>
      <c r="F18" s="10" t="s">
        <v>23</v>
      </c>
      <c r="G18" s="10"/>
      <c r="H18" s="11" t="s">
        <v>24</v>
      </c>
      <c r="I18" s="11" t="s">
        <v>24</v>
      </c>
      <c r="J18" s="12"/>
      <c r="K18" s="8"/>
      <c r="L18" s="9" t="s">
        <v>240</v>
      </c>
      <c r="M18" s="8"/>
    </row>
    <row r="19" customFormat="false" ht="15" hidden="false" customHeight="true" outlineLevel="0" collapsed="false">
      <c r="A19" s="8" t="n">
        <v>13</v>
      </c>
      <c r="B19" s="8" t="n">
        <v>2</v>
      </c>
      <c r="C19" s="9" t="s">
        <v>39</v>
      </c>
      <c r="D19" s="8" t="s">
        <v>262</v>
      </c>
      <c r="E19" s="13" t="s">
        <v>263</v>
      </c>
      <c r="F19" s="10" t="s">
        <v>23</v>
      </c>
      <c r="G19" s="10"/>
      <c r="H19" s="11" t="s">
        <v>24</v>
      </c>
      <c r="I19" s="11" t="s">
        <v>24</v>
      </c>
      <c r="J19" s="12"/>
      <c r="K19" s="8"/>
      <c r="L19" s="9" t="s">
        <v>240</v>
      </c>
      <c r="M19" s="8"/>
    </row>
    <row r="20" customFormat="false" ht="15" hidden="false" customHeight="true" outlineLevel="0" collapsed="false">
      <c r="A20" s="8" t="n">
        <v>14</v>
      </c>
      <c r="B20" s="8" t="n">
        <v>3</v>
      </c>
      <c r="C20" s="9" t="s">
        <v>45</v>
      </c>
      <c r="D20" s="8" t="s">
        <v>264</v>
      </c>
      <c r="E20" s="13" t="s">
        <v>239</v>
      </c>
      <c r="F20" s="10" t="s">
        <v>23</v>
      </c>
      <c r="G20" s="10"/>
      <c r="H20" s="11" t="s">
        <v>24</v>
      </c>
      <c r="I20" s="11" t="s">
        <v>24</v>
      </c>
      <c r="J20" s="12"/>
      <c r="K20" s="8"/>
      <c r="L20" s="9" t="s">
        <v>240</v>
      </c>
      <c r="M20" s="8"/>
    </row>
    <row r="21" customFormat="false" ht="15" hidden="false" customHeight="true" outlineLevel="0" collapsed="false">
      <c r="A21" s="8" t="n">
        <v>15</v>
      </c>
      <c r="B21" s="8" t="n">
        <v>3</v>
      </c>
      <c r="C21" s="9" t="s">
        <v>45</v>
      </c>
      <c r="D21" s="8" t="s">
        <v>265</v>
      </c>
      <c r="E21" s="13" t="s">
        <v>266</v>
      </c>
      <c r="F21" s="10" t="s">
        <v>23</v>
      </c>
      <c r="G21" s="10"/>
      <c r="H21" s="11" t="s">
        <v>24</v>
      </c>
      <c r="I21" s="11" t="s">
        <v>24</v>
      </c>
      <c r="J21" s="12"/>
      <c r="K21" s="8"/>
      <c r="L21" s="9" t="s">
        <v>240</v>
      </c>
      <c r="M21" s="8"/>
    </row>
    <row r="22" customFormat="false" ht="15" hidden="false" customHeight="true" outlineLevel="0" collapsed="false">
      <c r="A22" s="8" t="n">
        <v>16</v>
      </c>
      <c r="B22" s="8" t="n">
        <v>3</v>
      </c>
      <c r="C22" s="9" t="s">
        <v>45</v>
      </c>
      <c r="D22" s="8" t="s">
        <v>267</v>
      </c>
      <c r="E22" s="13" t="s">
        <v>268</v>
      </c>
      <c r="F22" s="10" t="s">
        <v>23</v>
      </c>
      <c r="G22" s="10"/>
      <c r="H22" s="11" t="s">
        <v>24</v>
      </c>
      <c r="I22" s="11" t="s">
        <v>24</v>
      </c>
      <c r="J22" s="12"/>
      <c r="K22" s="8"/>
      <c r="L22" s="9" t="s">
        <v>240</v>
      </c>
      <c r="M22" s="8"/>
    </row>
    <row r="23" customFormat="false" ht="15" hidden="false" customHeight="true" outlineLevel="0" collapsed="false">
      <c r="A23" s="8" t="n">
        <v>17</v>
      </c>
      <c r="B23" s="8" t="n">
        <v>3</v>
      </c>
      <c r="C23" s="9" t="s">
        <v>45</v>
      </c>
      <c r="D23" s="8" t="s">
        <v>269</v>
      </c>
      <c r="E23" s="13" t="s">
        <v>270</v>
      </c>
      <c r="F23" s="10" t="s">
        <v>23</v>
      </c>
      <c r="G23" s="10"/>
      <c r="H23" s="11" t="s">
        <v>24</v>
      </c>
      <c r="I23" s="11" t="s">
        <v>24</v>
      </c>
      <c r="J23" s="12"/>
      <c r="K23" s="8"/>
      <c r="L23" s="9" t="s">
        <v>240</v>
      </c>
      <c r="M23" s="8"/>
    </row>
    <row r="24" customFormat="false" ht="15" hidden="false" customHeight="true" outlineLevel="0" collapsed="false">
      <c r="A24" s="8" t="n">
        <v>18</v>
      </c>
      <c r="B24" s="8" t="n">
        <v>3</v>
      </c>
      <c r="C24" s="9" t="s">
        <v>45</v>
      </c>
      <c r="D24" s="8" t="s">
        <v>271</v>
      </c>
      <c r="E24" s="13" t="s">
        <v>272</v>
      </c>
      <c r="F24" s="10" t="s">
        <v>23</v>
      </c>
      <c r="G24" s="10"/>
      <c r="H24" s="11" t="s">
        <v>24</v>
      </c>
      <c r="I24" s="11" t="s">
        <v>24</v>
      </c>
      <c r="J24" s="12"/>
      <c r="K24" s="8"/>
      <c r="L24" s="9" t="s">
        <v>240</v>
      </c>
      <c r="M24" s="8"/>
    </row>
    <row r="25" customFormat="false" ht="15" hidden="false" customHeight="true" outlineLevel="0" collapsed="false">
      <c r="A25" s="8" t="n">
        <v>19</v>
      </c>
      <c r="B25" s="8" t="n">
        <v>3</v>
      </c>
      <c r="C25" s="9" t="s">
        <v>45</v>
      </c>
      <c r="D25" s="8" t="s">
        <v>273</v>
      </c>
      <c r="E25" s="13" t="s">
        <v>274</v>
      </c>
      <c r="F25" s="10" t="s">
        <v>23</v>
      </c>
      <c r="G25" s="10"/>
      <c r="H25" s="11" t="s">
        <v>24</v>
      </c>
      <c r="I25" s="11" t="s">
        <v>24</v>
      </c>
      <c r="J25" s="12"/>
      <c r="K25" s="8"/>
      <c r="L25" s="9" t="s">
        <v>240</v>
      </c>
      <c r="M25" s="8"/>
    </row>
    <row r="26" customFormat="false" ht="15" hidden="false" customHeight="true" outlineLevel="0" collapsed="false">
      <c r="A26" s="8" t="n">
        <v>20</v>
      </c>
      <c r="B26" s="8" t="n">
        <v>3</v>
      </c>
      <c r="C26" s="9" t="s">
        <v>45</v>
      </c>
      <c r="D26" s="8" t="s">
        <v>275</v>
      </c>
      <c r="E26" s="13" t="s">
        <v>276</v>
      </c>
      <c r="F26" s="10" t="s">
        <v>23</v>
      </c>
      <c r="G26" s="10"/>
      <c r="H26" s="11" t="s">
        <v>24</v>
      </c>
      <c r="I26" s="11" t="s">
        <v>24</v>
      </c>
      <c r="J26" s="12"/>
      <c r="K26" s="8"/>
      <c r="L26" s="9" t="s">
        <v>240</v>
      </c>
      <c r="M26" s="8"/>
    </row>
    <row r="27" customFormat="false" ht="15" hidden="false" customHeight="true" outlineLevel="0" collapsed="false">
      <c r="A27" s="8" t="n">
        <v>21</v>
      </c>
      <c r="B27" s="8" t="n">
        <v>3</v>
      </c>
      <c r="C27" s="9" t="s">
        <v>45</v>
      </c>
      <c r="D27" s="8" t="s">
        <v>277</v>
      </c>
      <c r="E27" s="13" t="s">
        <v>278</v>
      </c>
      <c r="F27" s="10" t="s">
        <v>23</v>
      </c>
      <c r="G27" s="10"/>
      <c r="H27" s="11" t="s">
        <v>24</v>
      </c>
      <c r="I27" s="11" t="s">
        <v>24</v>
      </c>
      <c r="J27" s="12"/>
      <c r="K27" s="8"/>
      <c r="L27" s="9" t="s">
        <v>240</v>
      </c>
      <c r="M27" s="8"/>
    </row>
    <row r="28" customFormat="false" ht="15" hidden="false" customHeight="true" outlineLevel="0" collapsed="false">
      <c r="A28" s="8" t="n">
        <v>22</v>
      </c>
      <c r="B28" s="8" t="n">
        <v>4</v>
      </c>
      <c r="C28" s="9" t="s">
        <v>61</v>
      </c>
      <c r="D28" s="8" t="s">
        <v>279</v>
      </c>
      <c r="E28" s="13" t="s">
        <v>239</v>
      </c>
      <c r="F28" s="10" t="s">
        <v>23</v>
      </c>
      <c r="G28" s="10" t="s">
        <v>23</v>
      </c>
      <c r="H28" s="11" t="s">
        <v>24</v>
      </c>
      <c r="I28" s="11" t="s">
        <v>24</v>
      </c>
      <c r="J28" s="12"/>
      <c r="K28" s="9" t="s">
        <v>280</v>
      </c>
      <c r="L28" s="9" t="s">
        <v>281</v>
      </c>
      <c r="M28" s="8"/>
    </row>
    <row r="29" customFormat="false" ht="15" hidden="false" customHeight="true" outlineLevel="0" collapsed="false">
      <c r="A29" s="8" t="n">
        <v>23</v>
      </c>
      <c r="B29" s="8" t="n">
        <v>4</v>
      </c>
      <c r="C29" s="9" t="s">
        <v>61</v>
      </c>
      <c r="D29" s="8" t="s">
        <v>282</v>
      </c>
      <c r="E29" s="13" t="s">
        <v>283</v>
      </c>
      <c r="F29" s="10" t="s">
        <v>23</v>
      </c>
      <c r="G29" s="10" t="s">
        <v>23</v>
      </c>
      <c r="H29" s="11" t="s">
        <v>24</v>
      </c>
      <c r="I29" s="11" t="s">
        <v>24</v>
      </c>
      <c r="J29" s="12"/>
      <c r="K29" s="9" t="s">
        <v>284</v>
      </c>
      <c r="L29" s="9" t="s">
        <v>281</v>
      </c>
      <c r="M29" s="8"/>
    </row>
    <row r="30" customFormat="false" ht="15" hidden="false" customHeight="true" outlineLevel="0" collapsed="false">
      <c r="A30" s="8" t="n">
        <v>24</v>
      </c>
      <c r="B30" s="8" t="n">
        <v>4</v>
      </c>
      <c r="C30" s="9" t="s">
        <v>61</v>
      </c>
      <c r="D30" s="8" t="s">
        <v>285</v>
      </c>
      <c r="E30" s="13" t="s">
        <v>286</v>
      </c>
      <c r="F30" s="10" t="s">
        <v>23</v>
      </c>
      <c r="G30" s="10" t="s">
        <v>23</v>
      </c>
      <c r="H30" s="11" t="s">
        <v>24</v>
      </c>
      <c r="I30" s="11" t="s">
        <v>24</v>
      </c>
      <c r="J30" s="12"/>
      <c r="K30" s="9" t="s">
        <v>284</v>
      </c>
      <c r="L30" s="9" t="s">
        <v>281</v>
      </c>
      <c r="M30" s="8"/>
    </row>
    <row r="31" customFormat="false" ht="15" hidden="false" customHeight="true" outlineLevel="0" collapsed="false">
      <c r="A31" s="8" t="n">
        <v>25</v>
      </c>
      <c r="B31" s="8" t="n">
        <v>4</v>
      </c>
      <c r="C31" s="9" t="s">
        <v>61</v>
      </c>
      <c r="D31" s="8" t="s">
        <v>287</v>
      </c>
      <c r="E31" s="13" t="s">
        <v>288</v>
      </c>
      <c r="F31" s="10" t="s">
        <v>23</v>
      </c>
      <c r="G31" s="10" t="s">
        <v>23</v>
      </c>
      <c r="H31" s="11" t="s">
        <v>24</v>
      </c>
      <c r="I31" s="11" t="s">
        <v>24</v>
      </c>
      <c r="J31" s="12"/>
      <c r="K31" s="9" t="s">
        <v>284</v>
      </c>
      <c r="L31" s="9" t="s">
        <v>281</v>
      </c>
      <c r="M31" s="8"/>
    </row>
    <row r="32" customFormat="false" ht="15" hidden="false" customHeight="true" outlineLevel="0" collapsed="false">
      <c r="A32" s="8" t="n">
        <v>26</v>
      </c>
      <c r="B32" s="8" t="n">
        <v>4</v>
      </c>
      <c r="C32" s="9" t="s">
        <v>61</v>
      </c>
      <c r="D32" s="8" t="s">
        <v>289</v>
      </c>
      <c r="E32" s="13" t="s">
        <v>290</v>
      </c>
      <c r="F32" s="10" t="s">
        <v>23</v>
      </c>
      <c r="G32" s="10" t="s">
        <v>23</v>
      </c>
      <c r="H32" s="11" t="s">
        <v>24</v>
      </c>
      <c r="I32" s="11" t="s">
        <v>24</v>
      </c>
      <c r="J32" s="12"/>
      <c r="K32" s="9" t="s">
        <v>284</v>
      </c>
      <c r="L32" s="9" t="s">
        <v>281</v>
      </c>
      <c r="M32" s="8"/>
    </row>
    <row r="33" customFormat="false" ht="15" hidden="false" customHeight="true" outlineLevel="0" collapsed="false">
      <c r="A33" s="8" t="n">
        <v>27</v>
      </c>
      <c r="B33" s="8" t="n">
        <v>4</v>
      </c>
      <c r="C33" s="9" t="s">
        <v>61</v>
      </c>
      <c r="D33" s="8" t="s">
        <v>291</v>
      </c>
      <c r="E33" s="13" t="s">
        <v>292</v>
      </c>
      <c r="F33" s="10" t="s">
        <v>23</v>
      </c>
      <c r="G33" s="10" t="s">
        <v>23</v>
      </c>
      <c r="H33" s="11" t="s">
        <v>24</v>
      </c>
      <c r="I33" s="11" t="s">
        <v>24</v>
      </c>
      <c r="J33" s="12"/>
      <c r="K33" s="9" t="s">
        <v>284</v>
      </c>
      <c r="L33" s="9" t="s">
        <v>281</v>
      </c>
      <c r="M33" s="8"/>
    </row>
    <row r="34" customFormat="false" ht="15" hidden="false" customHeight="true" outlineLevel="0" collapsed="false">
      <c r="A34" s="8" t="n">
        <v>28</v>
      </c>
      <c r="B34" s="8" t="n">
        <v>4</v>
      </c>
      <c r="C34" s="9" t="s">
        <v>61</v>
      </c>
      <c r="D34" s="8" t="s">
        <v>293</v>
      </c>
      <c r="E34" s="13" t="s">
        <v>294</v>
      </c>
      <c r="F34" s="10" t="s">
        <v>23</v>
      </c>
      <c r="G34" s="10" t="s">
        <v>23</v>
      </c>
      <c r="H34" s="11" t="s">
        <v>24</v>
      </c>
      <c r="I34" s="11" t="s">
        <v>24</v>
      </c>
      <c r="J34" s="12"/>
      <c r="K34" s="9" t="s">
        <v>284</v>
      </c>
      <c r="L34" s="9" t="s">
        <v>281</v>
      </c>
      <c r="M34" s="8"/>
    </row>
    <row r="35" customFormat="false" ht="15" hidden="false" customHeight="true" outlineLevel="0" collapsed="false">
      <c r="A35" s="8" t="n">
        <v>29</v>
      </c>
      <c r="B35" s="8" t="n">
        <v>5</v>
      </c>
      <c r="C35" s="9" t="s">
        <v>72</v>
      </c>
      <c r="D35" s="8" t="s">
        <v>295</v>
      </c>
      <c r="E35" s="13" t="s">
        <v>239</v>
      </c>
      <c r="F35" s="10" t="s">
        <v>23</v>
      </c>
      <c r="G35" s="10" t="s">
        <v>23</v>
      </c>
      <c r="H35" s="11" t="s">
        <v>24</v>
      </c>
      <c r="I35" s="11" t="s">
        <v>24</v>
      </c>
      <c r="J35" s="12"/>
      <c r="K35" s="9" t="s">
        <v>296</v>
      </c>
      <c r="L35" s="9" t="s">
        <v>297</v>
      </c>
      <c r="M35" s="8"/>
    </row>
    <row r="36" customFormat="false" ht="15" hidden="false" customHeight="true" outlineLevel="0" collapsed="false">
      <c r="A36" s="8" t="n">
        <v>30</v>
      </c>
      <c r="B36" s="8" t="n">
        <v>5</v>
      </c>
      <c r="C36" s="9" t="s">
        <v>72</v>
      </c>
      <c r="D36" s="8" t="s">
        <v>298</v>
      </c>
      <c r="E36" s="14" t="s">
        <v>299</v>
      </c>
      <c r="F36" s="10" t="s">
        <v>23</v>
      </c>
      <c r="G36" s="10" t="s">
        <v>23</v>
      </c>
      <c r="H36" s="11" t="s">
        <v>24</v>
      </c>
      <c r="I36" s="11" t="s">
        <v>24</v>
      </c>
      <c r="J36" s="12"/>
      <c r="K36" s="9" t="s">
        <v>300</v>
      </c>
      <c r="L36" s="9" t="s">
        <v>297</v>
      </c>
      <c r="M36" s="8"/>
    </row>
    <row r="37" customFormat="false" ht="15" hidden="false" customHeight="true" outlineLevel="0" collapsed="false">
      <c r="A37" s="8" t="n">
        <v>31</v>
      </c>
      <c r="B37" s="8" t="n">
        <v>5</v>
      </c>
      <c r="C37" s="9" t="s">
        <v>72</v>
      </c>
      <c r="D37" s="8" t="s">
        <v>301</v>
      </c>
      <c r="E37" s="13" t="s">
        <v>302</v>
      </c>
      <c r="F37" s="10" t="s">
        <v>23</v>
      </c>
      <c r="G37" s="10" t="s">
        <v>23</v>
      </c>
      <c r="H37" s="11" t="s">
        <v>24</v>
      </c>
      <c r="I37" s="11" t="s">
        <v>24</v>
      </c>
      <c r="J37" s="12"/>
      <c r="K37" s="9" t="s">
        <v>300</v>
      </c>
      <c r="L37" s="9" t="s">
        <v>297</v>
      </c>
      <c r="M37" s="8"/>
    </row>
    <row r="38" customFormat="false" ht="15" hidden="false" customHeight="true" outlineLevel="0" collapsed="false">
      <c r="A38" s="8" t="n">
        <v>32</v>
      </c>
      <c r="B38" s="8" t="n">
        <v>5</v>
      </c>
      <c r="C38" s="9" t="s">
        <v>72</v>
      </c>
      <c r="D38" s="8" t="s">
        <v>303</v>
      </c>
      <c r="E38" s="13" t="s">
        <v>304</v>
      </c>
      <c r="F38" s="10" t="s">
        <v>23</v>
      </c>
      <c r="G38" s="10" t="s">
        <v>23</v>
      </c>
      <c r="H38" s="11" t="s">
        <v>24</v>
      </c>
      <c r="I38" s="11" t="s">
        <v>24</v>
      </c>
      <c r="J38" s="12"/>
      <c r="K38" s="9" t="s">
        <v>300</v>
      </c>
      <c r="L38" s="9" t="s">
        <v>297</v>
      </c>
      <c r="M38" s="9" t="s">
        <v>305</v>
      </c>
    </row>
    <row r="39" customFormat="false" ht="15" hidden="false" customHeight="true" outlineLevel="0" collapsed="false">
      <c r="A39" s="8" t="n">
        <v>33</v>
      </c>
      <c r="B39" s="8" t="n">
        <v>5</v>
      </c>
      <c r="C39" s="9" t="s">
        <v>72</v>
      </c>
      <c r="D39" s="8" t="s">
        <v>306</v>
      </c>
      <c r="E39" s="13" t="s">
        <v>307</v>
      </c>
      <c r="F39" s="10" t="s">
        <v>23</v>
      </c>
      <c r="G39" s="10" t="s">
        <v>23</v>
      </c>
      <c r="H39" s="11" t="s">
        <v>24</v>
      </c>
      <c r="I39" s="11" t="s">
        <v>24</v>
      </c>
      <c r="J39" s="12"/>
      <c r="K39" s="9" t="s">
        <v>300</v>
      </c>
      <c r="L39" s="9" t="s">
        <v>297</v>
      </c>
      <c r="M39" s="9" t="s">
        <v>305</v>
      </c>
    </row>
    <row r="40" customFormat="false" ht="15" hidden="false" customHeight="true" outlineLevel="0" collapsed="false">
      <c r="A40" s="8" t="n">
        <v>34</v>
      </c>
      <c r="B40" s="8" t="n">
        <v>6</v>
      </c>
      <c r="C40" s="9" t="s">
        <v>81</v>
      </c>
      <c r="D40" s="8" t="s">
        <v>308</v>
      </c>
      <c r="E40" s="13" t="s">
        <v>239</v>
      </c>
      <c r="F40" s="10" t="s">
        <v>23</v>
      </c>
      <c r="G40" s="10" t="s">
        <v>23</v>
      </c>
      <c r="H40" s="11" t="s">
        <v>24</v>
      </c>
      <c r="I40" s="11" t="s">
        <v>24</v>
      </c>
      <c r="J40" s="12"/>
      <c r="K40" s="9" t="s">
        <v>309</v>
      </c>
      <c r="L40" s="9" t="s">
        <v>310</v>
      </c>
      <c r="M40" s="8"/>
    </row>
    <row r="41" customFormat="false" ht="15" hidden="false" customHeight="true" outlineLevel="0" collapsed="false">
      <c r="A41" s="8" t="n">
        <v>35</v>
      </c>
      <c r="B41" s="8" t="n">
        <v>6</v>
      </c>
      <c r="C41" s="9" t="s">
        <v>81</v>
      </c>
      <c r="D41" s="8" t="s">
        <v>311</v>
      </c>
      <c r="E41" s="13" t="s">
        <v>283</v>
      </c>
      <c r="F41" s="10" t="s">
        <v>23</v>
      </c>
      <c r="G41" s="10" t="s">
        <v>23</v>
      </c>
      <c r="H41" s="11" t="s">
        <v>24</v>
      </c>
      <c r="I41" s="11" t="s">
        <v>24</v>
      </c>
      <c r="J41" s="12"/>
      <c r="K41" s="9" t="s">
        <v>312</v>
      </c>
      <c r="L41" s="9" t="s">
        <v>310</v>
      </c>
      <c r="M41" s="8"/>
    </row>
    <row r="42" customFormat="false" ht="15" hidden="false" customHeight="true" outlineLevel="0" collapsed="false">
      <c r="A42" s="8" t="n">
        <v>36</v>
      </c>
      <c r="B42" s="8" t="n">
        <v>6</v>
      </c>
      <c r="C42" s="9" t="s">
        <v>81</v>
      </c>
      <c r="D42" s="8" t="s">
        <v>313</v>
      </c>
      <c r="E42" s="13" t="s">
        <v>314</v>
      </c>
      <c r="F42" s="10" t="s">
        <v>23</v>
      </c>
      <c r="G42" s="10" t="s">
        <v>23</v>
      </c>
      <c r="H42" s="11" t="s">
        <v>24</v>
      </c>
      <c r="I42" s="11" t="s">
        <v>24</v>
      </c>
      <c r="J42" s="12"/>
      <c r="K42" s="9" t="s">
        <v>312</v>
      </c>
      <c r="L42" s="9" t="s">
        <v>310</v>
      </c>
      <c r="M42" s="8"/>
    </row>
    <row r="43" customFormat="false" ht="15" hidden="false" customHeight="true" outlineLevel="0" collapsed="false">
      <c r="A43" s="8" t="n">
        <v>37</v>
      </c>
      <c r="B43" s="8" t="n">
        <v>6</v>
      </c>
      <c r="C43" s="9" t="s">
        <v>81</v>
      </c>
      <c r="D43" s="8" t="s">
        <v>315</v>
      </c>
      <c r="E43" s="13" t="s">
        <v>316</v>
      </c>
      <c r="F43" s="10" t="s">
        <v>23</v>
      </c>
      <c r="G43" s="10" t="s">
        <v>23</v>
      </c>
      <c r="H43" s="11" t="s">
        <v>24</v>
      </c>
      <c r="I43" s="11" t="s">
        <v>24</v>
      </c>
      <c r="J43" s="12"/>
      <c r="K43" s="9" t="s">
        <v>317</v>
      </c>
      <c r="L43" s="9" t="s">
        <v>310</v>
      </c>
      <c r="M43" s="8"/>
    </row>
    <row r="44" customFormat="false" ht="15" hidden="false" customHeight="true" outlineLevel="0" collapsed="false">
      <c r="A44" s="8" t="n">
        <v>38</v>
      </c>
      <c r="B44" s="8" t="n">
        <v>6</v>
      </c>
      <c r="C44" s="9" t="s">
        <v>81</v>
      </c>
      <c r="D44" s="8" t="s">
        <v>318</v>
      </c>
      <c r="E44" s="13" t="s">
        <v>319</v>
      </c>
      <c r="F44" s="10" t="s">
        <v>23</v>
      </c>
      <c r="G44" s="10" t="s">
        <v>23</v>
      </c>
      <c r="H44" s="11" t="s">
        <v>24</v>
      </c>
      <c r="I44" s="11" t="s">
        <v>24</v>
      </c>
      <c r="J44" s="12"/>
      <c r="K44" s="9" t="s">
        <v>312</v>
      </c>
      <c r="L44" s="9" t="s">
        <v>310</v>
      </c>
      <c r="M44" s="8"/>
    </row>
    <row r="45" customFormat="false" ht="15" hidden="false" customHeight="true" outlineLevel="0" collapsed="false">
      <c r="A45" s="8" t="n">
        <v>39</v>
      </c>
      <c r="B45" s="8" t="n">
        <v>6</v>
      </c>
      <c r="C45" s="9" t="s">
        <v>81</v>
      </c>
      <c r="D45" s="8" t="s">
        <v>320</v>
      </c>
      <c r="E45" s="13" t="s">
        <v>321</v>
      </c>
      <c r="F45" s="10" t="s">
        <v>23</v>
      </c>
      <c r="G45" s="10" t="s">
        <v>23</v>
      </c>
      <c r="H45" s="11" t="s">
        <v>24</v>
      </c>
      <c r="I45" s="11" t="s">
        <v>24</v>
      </c>
      <c r="J45" s="12"/>
      <c r="K45" s="9" t="s">
        <v>312</v>
      </c>
      <c r="L45" s="9" t="s">
        <v>310</v>
      </c>
      <c r="M45" s="8"/>
    </row>
    <row r="46" customFormat="false" ht="15" hidden="false" customHeight="true" outlineLevel="0" collapsed="false">
      <c r="A46" s="8" t="n">
        <v>40</v>
      </c>
      <c r="B46" s="8" t="n">
        <v>6</v>
      </c>
      <c r="C46" s="9" t="s">
        <v>81</v>
      </c>
      <c r="D46" s="8" t="s">
        <v>322</v>
      </c>
      <c r="E46" s="13" t="s">
        <v>323</v>
      </c>
      <c r="F46" s="10" t="s">
        <v>23</v>
      </c>
      <c r="G46" s="10" t="s">
        <v>23</v>
      </c>
      <c r="H46" s="11" t="s">
        <v>24</v>
      </c>
      <c r="I46" s="11" t="s">
        <v>24</v>
      </c>
      <c r="J46" s="12"/>
      <c r="K46" s="9" t="s">
        <v>312</v>
      </c>
      <c r="L46" s="9" t="s">
        <v>310</v>
      </c>
      <c r="M46" s="8"/>
    </row>
    <row r="47" customFormat="false" ht="15" hidden="false" customHeight="true" outlineLevel="0" collapsed="false">
      <c r="A47" s="8" t="n">
        <v>41</v>
      </c>
      <c r="B47" s="8" t="n">
        <v>6</v>
      </c>
      <c r="C47" s="9" t="s">
        <v>81</v>
      </c>
      <c r="D47" s="8" t="s">
        <v>324</v>
      </c>
      <c r="E47" s="13" t="s">
        <v>325</v>
      </c>
      <c r="F47" s="10" t="s">
        <v>23</v>
      </c>
      <c r="G47" s="10" t="s">
        <v>23</v>
      </c>
      <c r="H47" s="11" t="s">
        <v>24</v>
      </c>
      <c r="I47" s="11" t="s">
        <v>24</v>
      </c>
      <c r="J47" s="12"/>
      <c r="K47" s="9" t="s">
        <v>312</v>
      </c>
      <c r="L47" s="9" t="s">
        <v>310</v>
      </c>
      <c r="M47" s="9" t="s">
        <v>326</v>
      </c>
    </row>
    <row r="48" customFormat="false" ht="15" hidden="false" customHeight="true" outlineLevel="0" collapsed="false">
      <c r="A48" s="8" t="n">
        <v>42</v>
      </c>
      <c r="B48" s="8" t="n">
        <v>7</v>
      </c>
      <c r="C48" s="9" t="s">
        <v>88</v>
      </c>
      <c r="D48" s="8" t="s">
        <v>327</v>
      </c>
      <c r="E48" s="13" t="s">
        <v>239</v>
      </c>
      <c r="F48" s="10" t="s">
        <v>23</v>
      </c>
      <c r="G48" s="10" t="s">
        <v>23</v>
      </c>
      <c r="H48" s="11" t="s">
        <v>24</v>
      </c>
      <c r="I48" s="11" t="s">
        <v>24</v>
      </c>
      <c r="J48" s="12"/>
      <c r="K48" s="8"/>
      <c r="L48" s="9" t="s">
        <v>240</v>
      </c>
      <c r="M48" s="8"/>
    </row>
    <row r="49" customFormat="false" ht="15" hidden="false" customHeight="true" outlineLevel="0" collapsed="false">
      <c r="A49" s="8" t="n">
        <v>43</v>
      </c>
      <c r="B49" s="8" t="n">
        <v>7</v>
      </c>
      <c r="C49" s="9" t="s">
        <v>88</v>
      </c>
      <c r="D49" s="8" t="s">
        <v>328</v>
      </c>
      <c r="E49" s="13" t="s">
        <v>329</v>
      </c>
      <c r="F49" s="10" t="s">
        <v>23</v>
      </c>
      <c r="G49" s="10" t="s">
        <v>23</v>
      </c>
      <c r="H49" s="11" t="s">
        <v>24</v>
      </c>
      <c r="I49" s="11" t="s">
        <v>24</v>
      </c>
      <c r="J49" s="12"/>
      <c r="K49" s="8"/>
      <c r="L49" s="9" t="s">
        <v>240</v>
      </c>
      <c r="M49" s="8"/>
    </row>
    <row r="50" customFormat="false" ht="15" hidden="false" customHeight="true" outlineLevel="0" collapsed="false">
      <c r="A50" s="8" t="n">
        <v>44</v>
      </c>
      <c r="B50" s="8" t="n">
        <v>7</v>
      </c>
      <c r="C50" s="9" t="s">
        <v>88</v>
      </c>
      <c r="D50" s="8" t="s">
        <v>330</v>
      </c>
      <c r="E50" s="13" t="s">
        <v>331</v>
      </c>
      <c r="F50" s="10" t="s">
        <v>23</v>
      </c>
      <c r="G50" s="10" t="s">
        <v>23</v>
      </c>
      <c r="H50" s="11" t="s">
        <v>24</v>
      </c>
      <c r="I50" s="11" t="s">
        <v>24</v>
      </c>
      <c r="J50" s="12"/>
      <c r="K50" s="8"/>
      <c r="L50" s="9" t="s">
        <v>240</v>
      </c>
      <c r="M50" s="8"/>
    </row>
    <row r="51" customFormat="false" ht="15" hidden="false" customHeight="true" outlineLevel="0" collapsed="false">
      <c r="A51" s="8" t="n">
        <v>45</v>
      </c>
      <c r="B51" s="8" t="n">
        <v>7</v>
      </c>
      <c r="C51" s="9" t="s">
        <v>88</v>
      </c>
      <c r="D51" s="8" t="s">
        <v>332</v>
      </c>
      <c r="E51" s="13" t="s">
        <v>333</v>
      </c>
      <c r="F51" s="10" t="s">
        <v>23</v>
      </c>
      <c r="G51" s="10" t="s">
        <v>23</v>
      </c>
      <c r="H51" s="11" t="s">
        <v>24</v>
      </c>
      <c r="I51" s="11" t="s">
        <v>24</v>
      </c>
      <c r="J51" s="12"/>
      <c r="K51" s="8"/>
      <c r="L51" s="9" t="s">
        <v>240</v>
      </c>
      <c r="M51" s="8"/>
    </row>
    <row r="52" customFormat="false" ht="15" hidden="false" customHeight="true" outlineLevel="0" collapsed="false">
      <c r="A52" s="8" t="n">
        <v>46</v>
      </c>
      <c r="B52" s="8" t="n">
        <v>7</v>
      </c>
      <c r="C52" s="9" t="s">
        <v>88</v>
      </c>
      <c r="D52" s="8" t="s">
        <v>334</v>
      </c>
      <c r="E52" s="13" t="s">
        <v>335</v>
      </c>
      <c r="F52" s="10" t="s">
        <v>23</v>
      </c>
      <c r="G52" s="10" t="s">
        <v>23</v>
      </c>
      <c r="H52" s="11" t="s">
        <v>24</v>
      </c>
      <c r="I52" s="11" t="s">
        <v>24</v>
      </c>
      <c r="J52" s="12"/>
      <c r="K52" s="8"/>
      <c r="L52" s="9" t="s">
        <v>240</v>
      </c>
      <c r="M52" s="8"/>
    </row>
    <row r="53" customFormat="false" ht="15" hidden="false" customHeight="true" outlineLevel="0" collapsed="false">
      <c r="A53" s="8" t="n">
        <v>47</v>
      </c>
      <c r="B53" s="8" t="n">
        <v>7</v>
      </c>
      <c r="C53" s="9" t="s">
        <v>88</v>
      </c>
      <c r="D53" s="8" t="s">
        <v>336</v>
      </c>
      <c r="E53" s="13" t="s">
        <v>337</v>
      </c>
      <c r="F53" s="10" t="s">
        <v>23</v>
      </c>
      <c r="G53" s="10" t="s">
        <v>23</v>
      </c>
      <c r="H53" s="11" t="s">
        <v>24</v>
      </c>
      <c r="I53" s="11" t="s">
        <v>24</v>
      </c>
      <c r="J53" s="12"/>
      <c r="K53" s="8"/>
      <c r="L53" s="9" t="s">
        <v>240</v>
      </c>
      <c r="M53" s="8"/>
    </row>
    <row r="54" customFormat="false" ht="15" hidden="false" customHeight="true" outlineLevel="0" collapsed="false">
      <c r="A54" s="8" t="n">
        <v>48</v>
      </c>
      <c r="B54" s="8" t="n">
        <v>7</v>
      </c>
      <c r="C54" s="9" t="s">
        <v>88</v>
      </c>
      <c r="D54" s="8" t="s">
        <v>338</v>
      </c>
      <c r="E54" s="13" t="s">
        <v>339</v>
      </c>
      <c r="F54" s="10" t="s">
        <v>23</v>
      </c>
      <c r="G54" s="10" t="s">
        <v>23</v>
      </c>
      <c r="H54" s="11" t="s">
        <v>24</v>
      </c>
      <c r="I54" s="11" t="s">
        <v>24</v>
      </c>
      <c r="J54" s="12"/>
      <c r="K54" s="8"/>
      <c r="L54" s="9" t="s">
        <v>240</v>
      </c>
      <c r="M54" s="8"/>
    </row>
    <row r="55" customFormat="false" ht="15" hidden="false" customHeight="true" outlineLevel="0" collapsed="false">
      <c r="A55" s="8" t="n">
        <v>49</v>
      </c>
      <c r="B55" s="8" t="n">
        <v>8</v>
      </c>
      <c r="C55" s="9" t="s">
        <v>97</v>
      </c>
      <c r="D55" s="8" t="s">
        <v>340</v>
      </c>
      <c r="E55" s="13" t="s">
        <v>239</v>
      </c>
      <c r="F55" s="10" t="s">
        <v>23</v>
      </c>
      <c r="G55" s="10" t="s">
        <v>23</v>
      </c>
      <c r="H55" s="11" t="s">
        <v>24</v>
      </c>
      <c r="I55" s="11" t="s">
        <v>24</v>
      </c>
      <c r="J55" s="12"/>
      <c r="K55" s="9" t="s">
        <v>341</v>
      </c>
      <c r="L55" s="9" t="s">
        <v>342</v>
      </c>
      <c r="M55" s="8"/>
    </row>
    <row r="56" customFormat="false" ht="15" hidden="false" customHeight="true" outlineLevel="0" collapsed="false">
      <c r="A56" s="8" t="n">
        <v>50</v>
      </c>
      <c r="B56" s="8" t="n">
        <v>8</v>
      </c>
      <c r="C56" s="9" t="s">
        <v>97</v>
      </c>
      <c r="D56" s="8" t="s">
        <v>343</v>
      </c>
      <c r="E56" s="14" t="s">
        <v>344</v>
      </c>
      <c r="F56" s="10" t="s">
        <v>23</v>
      </c>
      <c r="G56" s="10" t="s">
        <v>23</v>
      </c>
      <c r="H56" s="11" t="s">
        <v>24</v>
      </c>
      <c r="I56" s="11" t="s">
        <v>24</v>
      </c>
      <c r="J56" s="12"/>
      <c r="K56" s="9" t="s">
        <v>345</v>
      </c>
      <c r="L56" s="9" t="s">
        <v>342</v>
      </c>
      <c r="M56" s="8"/>
    </row>
    <row r="57" customFormat="false" ht="15" hidden="false" customHeight="true" outlineLevel="0" collapsed="false">
      <c r="A57" s="8" t="n">
        <v>51</v>
      </c>
      <c r="B57" s="8" t="n">
        <v>8</v>
      </c>
      <c r="C57" s="9" t="s">
        <v>97</v>
      </c>
      <c r="D57" s="8" t="s">
        <v>346</v>
      </c>
      <c r="E57" s="13" t="s">
        <v>347</v>
      </c>
      <c r="F57" s="10" t="s">
        <v>23</v>
      </c>
      <c r="G57" s="10" t="s">
        <v>23</v>
      </c>
      <c r="H57" s="11" t="s">
        <v>24</v>
      </c>
      <c r="I57" s="11" t="s">
        <v>24</v>
      </c>
      <c r="J57" s="12"/>
      <c r="K57" s="9" t="s">
        <v>345</v>
      </c>
      <c r="L57" s="9" t="s">
        <v>342</v>
      </c>
      <c r="M57" s="8"/>
    </row>
    <row r="58" customFormat="false" ht="15" hidden="false" customHeight="true" outlineLevel="0" collapsed="false">
      <c r="A58" s="8" t="n">
        <v>52</v>
      </c>
      <c r="B58" s="8" t="n">
        <v>8</v>
      </c>
      <c r="C58" s="9" t="s">
        <v>97</v>
      </c>
      <c r="D58" s="8" t="s">
        <v>348</v>
      </c>
      <c r="E58" s="14" t="s">
        <v>349</v>
      </c>
      <c r="F58" s="10" t="s">
        <v>23</v>
      </c>
      <c r="G58" s="10" t="s">
        <v>23</v>
      </c>
      <c r="H58" s="11" t="s">
        <v>24</v>
      </c>
      <c r="I58" s="11" t="s">
        <v>24</v>
      </c>
      <c r="J58" s="12"/>
      <c r="K58" s="9" t="s">
        <v>345</v>
      </c>
      <c r="L58" s="9" t="s">
        <v>342</v>
      </c>
      <c r="M58" s="8"/>
    </row>
    <row r="59" customFormat="false" ht="15" hidden="false" customHeight="true" outlineLevel="0" collapsed="false">
      <c r="A59" s="8" t="n">
        <v>53</v>
      </c>
      <c r="B59" s="8" t="n">
        <v>8</v>
      </c>
      <c r="C59" s="9" t="s">
        <v>97</v>
      </c>
      <c r="D59" s="8" t="s">
        <v>350</v>
      </c>
      <c r="E59" s="13" t="s">
        <v>351</v>
      </c>
      <c r="F59" s="10" t="s">
        <v>23</v>
      </c>
      <c r="G59" s="10" t="s">
        <v>23</v>
      </c>
      <c r="H59" s="11" t="s">
        <v>24</v>
      </c>
      <c r="I59" s="11" t="s">
        <v>24</v>
      </c>
      <c r="J59" s="12"/>
      <c r="K59" s="9" t="s">
        <v>345</v>
      </c>
      <c r="L59" s="9" t="s">
        <v>342</v>
      </c>
      <c r="M59" s="9" t="s">
        <v>305</v>
      </c>
    </row>
    <row r="60" customFormat="false" ht="15" hidden="false" customHeight="true" outlineLevel="0" collapsed="false">
      <c r="A60" s="8" t="n">
        <v>54</v>
      </c>
      <c r="B60" s="8" t="n">
        <v>8</v>
      </c>
      <c r="C60" s="9" t="s">
        <v>97</v>
      </c>
      <c r="D60" s="8" t="s">
        <v>352</v>
      </c>
      <c r="E60" s="13" t="s">
        <v>353</v>
      </c>
      <c r="F60" s="10" t="s">
        <v>23</v>
      </c>
      <c r="G60" s="10" t="s">
        <v>23</v>
      </c>
      <c r="H60" s="11" t="s">
        <v>24</v>
      </c>
      <c r="I60" s="11" t="s">
        <v>24</v>
      </c>
      <c r="J60" s="12"/>
      <c r="K60" s="9" t="s">
        <v>345</v>
      </c>
      <c r="L60" s="9" t="s">
        <v>342</v>
      </c>
      <c r="M60" s="9" t="s">
        <v>305</v>
      </c>
    </row>
    <row r="61" customFormat="false" ht="15" hidden="false" customHeight="true" outlineLevel="0" collapsed="false">
      <c r="A61" s="8" t="n">
        <v>55</v>
      </c>
      <c r="B61" s="8" t="n">
        <v>8</v>
      </c>
      <c r="C61" s="9" t="s">
        <v>97</v>
      </c>
      <c r="D61" s="8" t="s">
        <v>354</v>
      </c>
      <c r="E61" s="13" t="s">
        <v>355</v>
      </c>
      <c r="F61" s="10" t="s">
        <v>23</v>
      </c>
      <c r="G61" s="10" t="s">
        <v>23</v>
      </c>
      <c r="H61" s="11" t="s">
        <v>24</v>
      </c>
      <c r="I61" s="11" t="s">
        <v>24</v>
      </c>
      <c r="J61" s="12"/>
      <c r="K61" s="9" t="s">
        <v>345</v>
      </c>
      <c r="L61" s="9" t="s">
        <v>342</v>
      </c>
      <c r="M61" s="9" t="s">
        <v>305</v>
      </c>
    </row>
    <row r="62" customFormat="false" ht="15" hidden="false" customHeight="true" outlineLevel="0" collapsed="false">
      <c r="A62" s="8" t="n">
        <v>56</v>
      </c>
      <c r="B62" s="8" t="n">
        <v>8</v>
      </c>
      <c r="C62" s="9" t="s">
        <v>97</v>
      </c>
      <c r="D62" s="8" t="s">
        <v>356</v>
      </c>
      <c r="E62" s="13" t="s">
        <v>357</v>
      </c>
      <c r="F62" s="10" t="s">
        <v>23</v>
      </c>
      <c r="G62" s="10" t="s">
        <v>23</v>
      </c>
      <c r="H62" s="11" t="s">
        <v>24</v>
      </c>
      <c r="I62" s="11" t="s">
        <v>24</v>
      </c>
      <c r="J62" s="12"/>
      <c r="K62" s="9" t="s">
        <v>345</v>
      </c>
      <c r="L62" s="9" t="s">
        <v>342</v>
      </c>
      <c r="M62" s="9" t="s">
        <v>305</v>
      </c>
    </row>
    <row r="63" customFormat="false" ht="15" hidden="false" customHeight="true" outlineLevel="0" collapsed="false">
      <c r="A63" s="8" t="n">
        <v>57</v>
      </c>
      <c r="B63" s="8" t="n">
        <v>9</v>
      </c>
      <c r="C63" s="9" t="s">
        <v>104</v>
      </c>
      <c r="D63" s="8" t="s">
        <v>358</v>
      </c>
      <c r="E63" s="13" t="s">
        <v>239</v>
      </c>
      <c r="F63" s="10" t="s">
        <v>23</v>
      </c>
      <c r="G63" s="10" t="s">
        <v>23</v>
      </c>
      <c r="H63" s="11" t="s">
        <v>24</v>
      </c>
      <c r="I63" s="11" t="s">
        <v>24</v>
      </c>
      <c r="J63" s="12"/>
      <c r="K63" s="9" t="s">
        <v>359</v>
      </c>
      <c r="L63" s="9" t="s">
        <v>360</v>
      </c>
      <c r="M63" s="8"/>
    </row>
    <row r="64" customFormat="false" ht="15" hidden="false" customHeight="true" outlineLevel="0" collapsed="false">
      <c r="A64" s="8" t="n">
        <v>58</v>
      </c>
      <c r="B64" s="8" t="n">
        <v>9</v>
      </c>
      <c r="C64" s="9" t="s">
        <v>104</v>
      </c>
      <c r="D64" s="8" t="s">
        <v>361</v>
      </c>
      <c r="E64" s="13" t="s">
        <v>362</v>
      </c>
      <c r="F64" s="10" t="s">
        <v>23</v>
      </c>
      <c r="G64" s="10" t="s">
        <v>23</v>
      </c>
      <c r="H64" s="11" t="s">
        <v>24</v>
      </c>
      <c r="I64" s="11" t="s">
        <v>24</v>
      </c>
      <c r="J64" s="12"/>
      <c r="K64" s="9" t="s">
        <v>363</v>
      </c>
      <c r="L64" s="9" t="s">
        <v>360</v>
      </c>
      <c r="M64" s="8"/>
    </row>
    <row r="65" customFormat="false" ht="15" hidden="false" customHeight="true" outlineLevel="0" collapsed="false">
      <c r="A65" s="8" t="n">
        <v>59</v>
      </c>
      <c r="B65" s="8" t="n">
        <v>9</v>
      </c>
      <c r="C65" s="9" t="s">
        <v>104</v>
      </c>
      <c r="D65" s="8" t="s">
        <v>364</v>
      </c>
      <c r="E65" s="13" t="s">
        <v>365</v>
      </c>
      <c r="F65" s="10" t="s">
        <v>23</v>
      </c>
      <c r="G65" s="10" t="s">
        <v>23</v>
      </c>
      <c r="H65" s="11" t="s">
        <v>24</v>
      </c>
      <c r="I65" s="11" t="s">
        <v>24</v>
      </c>
      <c r="J65" s="12"/>
      <c r="K65" s="9" t="s">
        <v>363</v>
      </c>
      <c r="L65" s="9" t="s">
        <v>360</v>
      </c>
      <c r="M65" s="8"/>
    </row>
    <row r="66" customFormat="false" ht="15" hidden="false" customHeight="true" outlineLevel="0" collapsed="false">
      <c r="A66" s="8" t="n">
        <v>60</v>
      </c>
      <c r="B66" s="8" t="n">
        <v>9</v>
      </c>
      <c r="C66" s="9" t="s">
        <v>104</v>
      </c>
      <c r="D66" s="8" t="s">
        <v>366</v>
      </c>
      <c r="E66" s="13" t="s">
        <v>367</v>
      </c>
      <c r="F66" s="10" t="s">
        <v>23</v>
      </c>
      <c r="G66" s="10" t="s">
        <v>23</v>
      </c>
      <c r="H66" s="11" t="s">
        <v>24</v>
      </c>
      <c r="I66" s="11" t="s">
        <v>24</v>
      </c>
      <c r="J66" s="12"/>
      <c r="K66" s="9" t="s">
        <v>363</v>
      </c>
      <c r="L66" s="9" t="s">
        <v>360</v>
      </c>
      <c r="M66" s="8"/>
    </row>
    <row r="67" customFormat="false" ht="15" hidden="false" customHeight="true" outlineLevel="0" collapsed="false">
      <c r="A67" s="8" t="n">
        <v>61</v>
      </c>
      <c r="B67" s="8" t="n">
        <v>9</v>
      </c>
      <c r="C67" s="9" t="s">
        <v>104</v>
      </c>
      <c r="D67" s="8" t="s">
        <v>368</v>
      </c>
      <c r="E67" s="13" t="s">
        <v>369</v>
      </c>
      <c r="F67" s="10" t="s">
        <v>23</v>
      </c>
      <c r="G67" s="10" t="s">
        <v>23</v>
      </c>
      <c r="H67" s="11" t="s">
        <v>24</v>
      </c>
      <c r="I67" s="11" t="s">
        <v>24</v>
      </c>
      <c r="J67" s="12"/>
      <c r="K67" s="9" t="s">
        <v>363</v>
      </c>
      <c r="L67" s="9" t="s">
        <v>360</v>
      </c>
      <c r="M67" s="8"/>
    </row>
    <row r="68" customFormat="false" ht="15" hidden="false" customHeight="true" outlineLevel="0" collapsed="false">
      <c r="A68" s="8" t="n">
        <v>62</v>
      </c>
      <c r="B68" s="8" t="n">
        <v>9</v>
      </c>
      <c r="C68" s="9" t="s">
        <v>104</v>
      </c>
      <c r="D68" s="8" t="s">
        <v>370</v>
      </c>
      <c r="E68" s="13" t="s">
        <v>371</v>
      </c>
      <c r="F68" s="10" t="s">
        <v>23</v>
      </c>
      <c r="G68" s="10" t="s">
        <v>23</v>
      </c>
      <c r="H68" s="11" t="s">
        <v>24</v>
      </c>
      <c r="I68" s="11" t="s">
        <v>24</v>
      </c>
      <c r="J68" s="12"/>
      <c r="K68" s="9" t="s">
        <v>363</v>
      </c>
      <c r="L68" s="9" t="s">
        <v>360</v>
      </c>
      <c r="M68" s="8"/>
    </row>
    <row r="69" customFormat="false" ht="15" hidden="false" customHeight="true" outlineLevel="0" collapsed="false">
      <c r="A69" s="8" t="n">
        <v>63</v>
      </c>
      <c r="B69" s="8" t="n">
        <v>10</v>
      </c>
      <c r="C69" s="9" t="s">
        <v>112</v>
      </c>
      <c r="D69" s="8" t="s">
        <v>372</v>
      </c>
      <c r="E69" s="13" t="s">
        <v>239</v>
      </c>
      <c r="F69" s="10" t="s">
        <v>23</v>
      </c>
      <c r="G69" s="10" t="s">
        <v>23</v>
      </c>
      <c r="H69" s="11" t="s">
        <v>24</v>
      </c>
      <c r="I69" s="11" t="s">
        <v>24</v>
      </c>
      <c r="J69" s="12"/>
      <c r="K69" s="9" t="s">
        <v>373</v>
      </c>
      <c r="L69" s="9" t="s">
        <v>374</v>
      </c>
      <c r="M69" s="8"/>
    </row>
    <row r="70" customFormat="false" ht="15" hidden="false" customHeight="true" outlineLevel="0" collapsed="false">
      <c r="A70" s="8" t="n">
        <v>64</v>
      </c>
      <c r="B70" s="8" t="n">
        <v>10</v>
      </c>
      <c r="C70" s="9" t="s">
        <v>112</v>
      </c>
      <c r="D70" s="8" t="s">
        <v>375</v>
      </c>
      <c r="E70" s="13" t="s">
        <v>376</v>
      </c>
      <c r="F70" s="10" t="s">
        <v>23</v>
      </c>
      <c r="G70" s="10" t="s">
        <v>23</v>
      </c>
      <c r="H70" s="11" t="s">
        <v>24</v>
      </c>
      <c r="I70" s="11" t="s">
        <v>24</v>
      </c>
      <c r="J70" s="12"/>
      <c r="K70" s="9" t="s">
        <v>377</v>
      </c>
      <c r="L70" s="9" t="s">
        <v>374</v>
      </c>
      <c r="M70" s="8"/>
    </row>
    <row r="71" customFormat="false" ht="15" hidden="false" customHeight="true" outlineLevel="0" collapsed="false">
      <c r="A71" s="8" t="n">
        <v>65</v>
      </c>
      <c r="B71" s="8" t="n">
        <v>10</v>
      </c>
      <c r="C71" s="9" t="s">
        <v>112</v>
      </c>
      <c r="D71" s="8" t="s">
        <v>378</v>
      </c>
      <c r="E71" s="13" t="s">
        <v>379</v>
      </c>
      <c r="F71" s="10" t="s">
        <v>23</v>
      </c>
      <c r="G71" s="10" t="s">
        <v>23</v>
      </c>
      <c r="H71" s="11" t="s">
        <v>24</v>
      </c>
      <c r="I71" s="11" t="s">
        <v>24</v>
      </c>
      <c r="J71" s="12"/>
      <c r="K71" s="9" t="s">
        <v>377</v>
      </c>
      <c r="L71" s="9" t="s">
        <v>374</v>
      </c>
      <c r="M71" s="8"/>
    </row>
    <row r="72" customFormat="false" ht="15" hidden="false" customHeight="true" outlineLevel="0" collapsed="false">
      <c r="A72" s="8" t="n">
        <v>66</v>
      </c>
      <c r="B72" s="8" t="n">
        <v>10</v>
      </c>
      <c r="C72" s="9" t="s">
        <v>112</v>
      </c>
      <c r="D72" s="8" t="s">
        <v>380</v>
      </c>
      <c r="E72" s="13" t="s">
        <v>381</v>
      </c>
      <c r="F72" s="10" t="s">
        <v>23</v>
      </c>
      <c r="G72" s="10" t="s">
        <v>23</v>
      </c>
      <c r="H72" s="11" t="s">
        <v>24</v>
      </c>
      <c r="I72" s="11" t="s">
        <v>24</v>
      </c>
      <c r="J72" s="12"/>
      <c r="K72" s="9" t="s">
        <v>377</v>
      </c>
      <c r="L72" s="9" t="s">
        <v>374</v>
      </c>
      <c r="M72" s="8"/>
    </row>
    <row r="73" customFormat="false" ht="15" hidden="false" customHeight="true" outlineLevel="0" collapsed="false">
      <c r="A73" s="8" t="n">
        <v>67</v>
      </c>
      <c r="B73" s="8" t="n">
        <v>10</v>
      </c>
      <c r="C73" s="9" t="s">
        <v>112</v>
      </c>
      <c r="D73" s="8" t="s">
        <v>382</v>
      </c>
      <c r="E73" s="13" t="s">
        <v>383</v>
      </c>
      <c r="F73" s="10" t="s">
        <v>23</v>
      </c>
      <c r="G73" s="10" t="s">
        <v>23</v>
      </c>
      <c r="H73" s="11" t="s">
        <v>24</v>
      </c>
      <c r="I73" s="11" t="s">
        <v>24</v>
      </c>
      <c r="J73" s="12"/>
      <c r="K73" s="9" t="s">
        <v>377</v>
      </c>
      <c r="L73" s="9" t="s">
        <v>374</v>
      </c>
      <c r="M73" s="8"/>
    </row>
    <row r="74" customFormat="false" ht="15" hidden="false" customHeight="true" outlineLevel="0" collapsed="false">
      <c r="A74" s="8" t="n">
        <v>68</v>
      </c>
      <c r="B74" s="8" t="n">
        <v>11</v>
      </c>
      <c r="C74" s="9" t="s">
        <v>117</v>
      </c>
      <c r="D74" s="8" t="s">
        <v>384</v>
      </c>
      <c r="E74" s="13" t="s">
        <v>239</v>
      </c>
      <c r="F74" s="10" t="s">
        <v>23</v>
      </c>
      <c r="G74" s="10" t="s">
        <v>23</v>
      </c>
      <c r="H74" s="11" t="s">
        <v>24</v>
      </c>
      <c r="I74" s="11" t="s">
        <v>24</v>
      </c>
      <c r="J74" s="12"/>
      <c r="K74" s="9" t="s">
        <v>385</v>
      </c>
      <c r="L74" s="9" t="s">
        <v>386</v>
      </c>
      <c r="M74" s="8"/>
    </row>
    <row r="75" customFormat="false" ht="15" hidden="false" customHeight="true" outlineLevel="0" collapsed="false">
      <c r="A75" s="8" t="n">
        <v>69</v>
      </c>
      <c r="B75" s="8" t="n">
        <v>11</v>
      </c>
      <c r="C75" s="9" t="s">
        <v>117</v>
      </c>
      <c r="D75" s="8" t="s">
        <v>387</v>
      </c>
      <c r="E75" s="13" t="s">
        <v>376</v>
      </c>
      <c r="F75" s="10" t="s">
        <v>23</v>
      </c>
      <c r="G75" s="10" t="s">
        <v>23</v>
      </c>
      <c r="H75" s="11" t="s">
        <v>24</v>
      </c>
      <c r="I75" s="11" t="s">
        <v>24</v>
      </c>
      <c r="J75" s="12"/>
      <c r="K75" s="9" t="s">
        <v>388</v>
      </c>
      <c r="L75" s="9" t="s">
        <v>386</v>
      </c>
      <c r="M75" s="8"/>
    </row>
    <row r="76" customFormat="false" ht="15" hidden="false" customHeight="true" outlineLevel="0" collapsed="false">
      <c r="A76" s="8" t="n">
        <v>70</v>
      </c>
      <c r="B76" s="8" t="n">
        <v>11</v>
      </c>
      <c r="C76" s="9" t="s">
        <v>117</v>
      </c>
      <c r="D76" s="8" t="s">
        <v>389</v>
      </c>
      <c r="E76" s="13" t="s">
        <v>390</v>
      </c>
      <c r="F76" s="10" t="s">
        <v>23</v>
      </c>
      <c r="G76" s="10" t="s">
        <v>23</v>
      </c>
      <c r="H76" s="11" t="s">
        <v>24</v>
      </c>
      <c r="I76" s="11" t="s">
        <v>24</v>
      </c>
      <c r="J76" s="12"/>
      <c r="K76" s="9" t="s">
        <v>388</v>
      </c>
      <c r="L76" s="9" t="s">
        <v>386</v>
      </c>
      <c r="M76" s="8"/>
    </row>
    <row r="77" customFormat="false" ht="15" hidden="false" customHeight="true" outlineLevel="0" collapsed="false">
      <c r="A77" s="8" t="n">
        <v>71</v>
      </c>
      <c r="B77" s="8" t="n">
        <v>11</v>
      </c>
      <c r="C77" s="9" t="s">
        <v>117</v>
      </c>
      <c r="D77" s="8" t="s">
        <v>391</v>
      </c>
      <c r="E77" s="13" t="s">
        <v>392</v>
      </c>
      <c r="F77" s="10" t="s">
        <v>23</v>
      </c>
      <c r="G77" s="10" t="s">
        <v>23</v>
      </c>
      <c r="H77" s="11" t="s">
        <v>24</v>
      </c>
      <c r="I77" s="11" t="s">
        <v>24</v>
      </c>
      <c r="J77" s="12"/>
      <c r="K77" s="9" t="s">
        <v>388</v>
      </c>
      <c r="L77" s="9" t="s">
        <v>386</v>
      </c>
      <c r="M77" s="8"/>
    </row>
    <row r="78" customFormat="false" ht="15" hidden="false" customHeight="true" outlineLevel="0" collapsed="false">
      <c r="A78" s="8" t="n">
        <v>72</v>
      </c>
      <c r="B78" s="8" t="n">
        <v>11</v>
      </c>
      <c r="C78" s="9" t="s">
        <v>117</v>
      </c>
      <c r="D78" s="8" t="s">
        <v>393</v>
      </c>
      <c r="E78" s="13" t="s">
        <v>394</v>
      </c>
      <c r="F78" s="10" t="s">
        <v>23</v>
      </c>
      <c r="G78" s="10" t="s">
        <v>23</v>
      </c>
      <c r="H78" s="11" t="s">
        <v>24</v>
      </c>
      <c r="I78" s="11" t="s">
        <v>24</v>
      </c>
      <c r="J78" s="12"/>
      <c r="K78" s="9" t="s">
        <v>388</v>
      </c>
      <c r="L78" s="9" t="s">
        <v>386</v>
      </c>
      <c r="M78" s="8"/>
    </row>
    <row r="79" customFormat="false" ht="15" hidden="false" customHeight="true" outlineLevel="0" collapsed="false">
      <c r="A79" s="8" t="n">
        <v>73</v>
      </c>
      <c r="B79" s="8" t="n">
        <v>12</v>
      </c>
      <c r="C79" s="9" t="s">
        <v>124</v>
      </c>
      <c r="D79" s="8" t="s">
        <v>395</v>
      </c>
      <c r="E79" s="13" t="s">
        <v>239</v>
      </c>
      <c r="F79" s="10" t="s">
        <v>23</v>
      </c>
      <c r="G79" s="10" t="s">
        <v>23</v>
      </c>
      <c r="H79" s="11" t="s">
        <v>24</v>
      </c>
      <c r="I79" s="11" t="s">
        <v>24</v>
      </c>
      <c r="J79" s="12"/>
      <c r="K79" s="9" t="s">
        <v>396</v>
      </c>
      <c r="L79" s="9" t="s">
        <v>397</v>
      </c>
      <c r="M79" s="8"/>
    </row>
    <row r="80" customFormat="false" ht="15" hidden="false" customHeight="true" outlineLevel="0" collapsed="false">
      <c r="A80" s="8" t="n">
        <v>74</v>
      </c>
      <c r="B80" s="8" t="n">
        <v>12</v>
      </c>
      <c r="C80" s="9" t="s">
        <v>124</v>
      </c>
      <c r="D80" s="8" t="s">
        <v>398</v>
      </c>
      <c r="E80" s="13" t="s">
        <v>376</v>
      </c>
      <c r="F80" s="10" t="s">
        <v>23</v>
      </c>
      <c r="G80" s="10" t="s">
        <v>23</v>
      </c>
      <c r="H80" s="11" t="s">
        <v>24</v>
      </c>
      <c r="I80" s="11" t="s">
        <v>24</v>
      </c>
      <c r="J80" s="12"/>
      <c r="K80" s="9" t="s">
        <v>399</v>
      </c>
      <c r="L80" s="9" t="s">
        <v>397</v>
      </c>
      <c r="M80" s="8"/>
    </row>
    <row r="81" customFormat="false" ht="15" hidden="false" customHeight="true" outlineLevel="0" collapsed="false">
      <c r="A81" s="8" t="n">
        <v>75</v>
      </c>
      <c r="B81" s="8" t="n">
        <v>12</v>
      </c>
      <c r="C81" s="9" t="s">
        <v>124</v>
      </c>
      <c r="D81" s="8" t="s">
        <v>400</v>
      </c>
      <c r="E81" s="13" t="s">
        <v>401</v>
      </c>
      <c r="F81" s="10" t="s">
        <v>23</v>
      </c>
      <c r="G81" s="10" t="s">
        <v>23</v>
      </c>
      <c r="H81" s="11" t="s">
        <v>24</v>
      </c>
      <c r="I81" s="11" t="s">
        <v>24</v>
      </c>
      <c r="J81" s="12"/>
      <c r="K81" s="9" t="s">
        <v>399</v>
      </c>
      <c r="L81" s="9" t="s">
        <v>397</v>
      </c>
      <c r="M81" s="8"/>
    </row>
    <row r="82" customFormat="false" ht="15" hidden="false" customHeight="true" outlineLevel="0" collapsed="false">
      <c r="A82" s="8" t="n">
        <v>76</v>
      </c>
      <c r="B82" s="8" t="n">
        <v>12</v>
      </c>
      <c r="C82" s="9" t="s">
        <v>124</v>
      </c>
      <c r="D82" s="8" t="s">
        <v>402</v>
      </c>
      <c r="E82" s="13" t="s">
        <v>403</v>
      </c>
      <c r="F82" s="10" t="s">
        <v>23</v>
      </c>
      <c r="G82" s="10" t="s">
        <v>23</v>
      </c>
      <c r="H82" s="11" t="s">
        <v>24</v>
      </c>
      <c r="I82" s="11" t="s">
        <v>24</v>
      </c>
      <c r="J82" s="12"/>
      <c r="K82" s="9" t="s">
        <v>399</v>
      </c>
      <c r="L82" s="9" t="s">
        <v>397</v>
      </c>
      <c r="M82" s="8"/>
    </row>
    <row r="83" customFormat="false" ht="15" hidden="false" customHeight="true" outlineLevel="0" collapsed="false">
      <c r="A83" s="8" t="n">
        <v>77</v>
      </c>
      <c r="B83" s="8" t="n">
        <v>12</v>
      </c>
      <c r="C83" s="9" t="s">
        <v>124</v>
      </c>
      <c r="D83" s="8" t="s">
        <v>404</v>
      </c>
      <c r="E83" s="13" t="s">
        <v>405</v>
      </c>
      <c r="F83" s="10" t="s">
        <v>23</v>
      </c>
      <c r="G83" s="10" t="s">
        <v>23</v>
      </c>
      <c r="H83" s="11" t="s">
        <v>24</v>
      </c>
      <c r="I83" s="11" t="s">
        <v>24</v>
      </c>
      <c r="J83" s="12"/>
      <c r="K83" s="9" t="s">
        <v>399</v>
      </c>
      <c r="L83" s="9" t="s">
        <v>397</v>
      </c>
      <c r="M83" s="8"/>
    </row>
    <row r="84" customFormat="false" ht="15" hidden="false" customHeight="true" outlineLevel="0" collapsed="false">
      <c r="A84" s="8" t="n">
        <v>78</v>
      </c>
      <c r="B84" s="8" t="n">
        <v>12</v>
      </c>
      <c r="C84" s="9" t="s">
        <v>124</v>
      </c>
      <c r="D84" s="8" t="s">
        <v>406</v>
      </c>
      <c r="E84" s="13" t="s">
        <v>407</v>
      </c>
      <c r="F84" s="10" t="s">
        <v>23</v>
      </c>
      <c r="G84" s="10" t="s">
        <v>23</v>
      </c>
      <c r="H84" s="11" t="s">
        <v>24</v>
      </c>
      <c r="I84" s="11" t="s">
        <v>24</v>
      </c>
      <c r="J84" s="12"/>
      <c r="K84" s="9" t="s">
        <v>399</v>
      </c>
      <c r="L84" s="9" t="s">
        <v>397</v>
      </c>
      <c r="M84" s="8"/>
    </row>
    <row r="85" customFormat="false" ht="15" hidden="false" customHeight="true" outlineLevel="0" collapsed="false">
      <c r="A85" s="8" t="n">
        <v>79</v>
      </c>
      <c r="B85" s="8" t="n">
        <v>12</v>
      </c>
      <c r="C85" s="9" t="s">
        <v>124</v>
      </c>
      <c r="D85" s="8" t="s">
        <v>408</v>
      </c>
      <c r="E85" s="13" t="s">
        <v>409</v>
      </c>
      <c r="F85" s="10" t="s">
        <v>23</v>
      </c>
      <c r="G85" s="10" t="s">
        <v>23</v>
      </c>
      <c r="H85" s="11" t="s">
        <v>24</v>
      </c>
      <c r="I85" s="11" t="s">
        <v>24</v>
      </c>
      <c r="J85" s="12"/>
      <c r="K85" s="9" t="s">
        <v>399</v>
      </c>
      <c r="L85" s="9" t="s">
        <v>397</v>
      </c>
      <c r="M85" s="8"/>
    </row>
    <row r="86" customFormat="false" ht="15" hidden="false" customHeight="true" outlineLevel="0" collapsed="false">
      <c r="A86" s="8" t="n">
        <v>80</v>
      </c>
      <c r="B86" s="8" t="n">
        <v>13</v>
      </c>
      <c r="C86" s="9" t="s">
        <v>131</v>
      </c>
      <c r="D86" s="8" t="s">
        <v>410</v>
      </c>
      <c r="E86" s="13" t="s">
        <v>239</v>
      </c>
      <c r="F86" s="10" t="s">
        <v>23</v>
      </c>
      <c r="G86" s="10" t="s">
        <v>23</v>
      </c>
      <c r="H86" s="11" t="s">
        <v>24</v>
      </c>
      <c r="I86" s="11" t="s">
        <v>24</v>
      </c>
      <c r="J86" s="12"/>
      <c r="K86" s="9" t="s">
        <v>411</v>
      </c>
      <c r="L86" s="9" t="s">
        <v>412</v>
      </c>
      <c r="M86" s="8"/>
    </row>
    <row r="87" customFormat="false" ht="15" hidden="false" customHeight="true" outlineLevel="0" collapsed="false">
      <c r="A87" s="8" t="n">
        <v>81</v>
      </c>
      <c r="B87" s="8" t="n">
        <v>13</v>
      </c>
      <c r="C87" s="9" t="s">
        <v>131</v>
      </c>
      <c r="D87" s="8" t="s">
        <v>413</v>
      </c>
      <c r="E87" s="13" t="s">
        <v>376</v>
      </c>
      <c r="F87" s="10" t="s">
        <v>23</v>
      </c>
      <c r="G87" s="10" t="s">
        <v>23</v>
      </c>
      <c r="H87" s="11" t="s">
        <v>24</v>
      </c>
      <c r="I87" s="11" t="s">
        <v>24</v>
      </c>
      <c r="J87" s="12"/>
      <c r="K87" s="9" t="s">
        <v>414</v>
      </c>
      <c r="L87" s="9" t="s">
        <v>412</v>
      </c>
      <c r="M87" s="8"/>
    </row>
    <row r="88" customFormat="false" ht="15" hidden="false" customHeight="true" outlineLevel="0" collapsed="false">
      <c r="A88" s="8" t="n">
        <v>82</v>
      </c>
      <c r="B88" s="8" t="n">
        <v>13</v>
      </c>
      <c r="C88" s="9" t="s">
        <v>131</v>
      </c>
      <c r="D88" s="8" t="s">
        <v>415</v>
      </c>
      <c r="E88" s="14" t="s">
        <v>416</v>
      </c>
      <c r="F88" s="10" t="s">
        <v>23</v>
      </c>
      <c r="G88" s="10" t="s">
        <v>23</v>
      </c>
      <c r="H88" s="11" t="s">
        <v>24</v>
      </c>
      <c r="I88" s="11" t="s">
        <v>24</v>
      </c>
      <c r="J88" s="12"/>
      <c r="K88" s="9" t="s">
        <v>414</v>
      </c>
      <c r="L88" s="9" t="s">
        <v>412</v>
      </c>
      <c r="M88" s="8"/>
    </row>
    <row r="89" customFormat="false" ht="15" hidden="false" customHeight="true" outlineLevel="0" collapsed="false">
      <c r="A89" s="8" t="n">
        <v>83</v>
      </c>
      <c r="B89" s="8" t="n">
        <v>13</v>
      </c>
      <c r="C89" s="9" t="s">
        <v>131</v>
      </c>
      <c r="D89" s="8" t="s">
        <v>417</v>
      </c>
      <c r="E89" s="13" t="s">
        <v>418</v>
      </c>
      <c r="F89" s="10" t="s">
        <v>23</v>
      </c>
      <c r="G89" s="10" t="s">
        <v>23</v>
      </c>
      <c r="H89" s="11" t="s">
        <v>24</v>
      </c>
      <c r="I89" s="11" t="s">
        <v>24</v>
      </c>
      <c r="J89" s="12"/>
      <c r="K89" s="9" t="s">
        <v>414</v>
      </c>
      <c r="L89" s="9" t="s">
        <v>412</v>
      </c>
      <c r="M89" s="8"/>
    </row>
    <row r="90" customFormat="false" ht="15" hidden="false" customHeight="true" outlineLevel="0" collapsed="false">
      <c r="A90" s="8" t="n">
        <v>84</v>
      </c>
      <c r="B90" s="8" t="n">
        <v>14</v>
      </c>
      <c r="C90" s="9" t="s">
        <v>137</v>
      </c>
      <c r="D90" s="8" t="s">
        <v>419</v>
      </c>
      <c r="E90" s="13" t="s">
        <v>239</v>
      </c>
      <c r="F90" s="10" t="s">
        <v>23</v>
      </c>
      <c r="G90" s="10" t="s">
        <v>23</v>
      </c>
      <c r="H90" s="11" t="s">
        <v>24</v>
      </c>
      <c r="I90" s="11" t="s">
        <v>24</v>
      </c>
      <c r="J90" s="12"/>
      <c r="K90" s="9" t="s">
        <v>420</v>
      </c>
      <c r="L90" s="9" t="s">
        <v>421</v>
      </c>
      <c r="M90" s="8"/>
    </row>
    <row r="91" customFormat="false" ht="15" hidden="false" customHeight="true" outlineLevel="0" collapsed="false">
      <c r="A91" s="8" t="n">
        <v>85</v>
      </c>
      <c r="B91" s="8" t="n">
        <v>14</v>
      </c>
      <c r="C91" s="9" t="s">
        <v>137</v>
      </c>
      <c r="D91" s="8" t="s">
        <v>422</v>
      </c>
      <c r="E91" s="13" t="s">
        <v>423</v>
      </c>
      <c r="F91" s="10" t="s">
        <v>23</v>
      </c>
      <c r="G91" s="10" t="s">
        <v>23</v>
      </c>
      <c r="H91" s="11" t="s">
        <v>24</v>
      </c>
      <c r="I91" s="11" t="s">
        <v>24</v>
      </c>
      <c r="J91" s="12"/>
      <c r="K91" s="9" t="s">
        <v>424</v>
      </c>
      <c r="L91" s="9" t="s">
        <v>421</v>
      </c>
      <c r="M91" s="8"/>
    </row>
    <row r="92" customFormat="false" ht="15" hidden="false" customHeight="true" outlineLevel="0" collapsed="false">
      <c r="A92" s="8" t="n">
        <v>86</v>
      </c>
      <c r="B92" s="8" t="n">
        <v>14</v>
      </c>
      <c r="C92" s="9" t="s">
        <v>137</v>
      </c>
      <c r="D92" s="8" t="s">
        <v>425</v>
      </c>
      <c r="E92" s="13" t="s">
        <v>426</v>
      </c>
      <c r="F92" s="10" t="s">
        <v>23</v>
      </c>
      <c r="G92" s="10" t="s">
        <v>23</v>
      </c>
      <c r="H92" s="11" t="s">
        <v>24</v>
      </c>
      <c r="I92" s="11" t="s">
        <v>24</v>
      </c>
      <c r="J92" s="12"/>
      <c r="K92" s="9" t="s">
        <v>424</v>
      </c>
      <c r="L92" s="9" t="s">
        <v>421</v>
      </c>
      <c r="M92" s="8"/>
    </row>
    <row r="93" customFormat="false" ht="15" hidden="false" customHeight="true" outlineLevel="0" collapsed="false">
      <c r="A93" s="8" t="n">
        <v>87</v>
      </c>
      <c r="B93" s="8" t="n">
        <v>14</v>
      </c>
      <c r="C93" s="9" t="s">
        <v>137</v>
      </c>
      <c r="D93" s="8" t="s">
        <v>427</v>
      </c>
      <c r="E93" s="13" t="s">
        <v>428</v>
      </c>
      <c r="F93" s="10" t="s">
        <v>23</v>
      </c>
      <c r="G93" s="10" t="s">
        <v>23</v>
      </c>
      <c r="H93" s="11" t="s">
        <v>24</v>
      </c>
      <c r="I93" s="11" t="s">
        <v>24</v>
      </c>
      <c r="J93" s="12"/>
      <c r="K93" s="9" t="s">
        <v>424</v>
      </c>
      <c r="L93" s="9" t="s">
        <v>421</v>
      </c>
      <c r="M93" s="8"/>
    </row>
    <row r="94" customFormat="false" ht="15" hidden="false" customHeight="true" outlineLevel="0" collapsed="false">
      <c r="A94" s="8" t="n">
        <v>88</v>
      </c>
      <c r="B94" s="8" t="n">
        <v>14</v>
      </c>
      <c r="C94" s="9" t="s">
        <v>137</v>
      </c>
      <c r="D94" s="8" t="s">
        <v>429</v>
      </c>
      <c r="E94" s="13" t="s">
        <v>430</v>
      </c>
      <c r="F94" s="10" t="s">
        <v>23</v>
      </c>
      <c r="G94" s="10" t="s">
        <v>23</v>
      </c>
      <c r="H94" s="11" t="s">
        <v>24</v>
      </c>
      <c r="I94" s="11" t="s">
        <v>24</v>
      </c>
      <c r="J94" s="12"/>
      <c r="K94" s="9" t="s">
        <v>424</v>
      </c>
      <c r="L94" s="9" t="s">
        <v>421</v>
      </c>
      <c r="M94" s="8"/>
    </row>
    <row r="95" customFormat="false" ht="15" hidden="false" customHeight="true" outlineLevel="0" collapsed="false">
      <c r="A95" s="8" t="n">
        <v>89</v>
      </c>
      <c r="B95" s="8" t="n">
        <v>15</v>
      </c>
      <c r="C95" s="9" t="s">
        <v>145</v>
      </c>
      <c r="D95" s="8" t="s">
        <v>431</v>
      </c>
      <c r="E95" s="13" t="s">
        <v>239</v>
      </c>
      <c r="F95" s="10" t="s">
        <v>23</v>
      </c>
      <c r="G95" s="10" t="s">
        <v>23</v>
      </c>
      <c r="H95" s="11" t="s">
        <v>24</v>
      </c>
      <c r="I95" s="11" t="s">
        <v>24</v>
      </c>
      <c r="J95" s="12"/>
      <c r="K95" s="9" t="s">
        <v>432</v>
      </c>
      <c r="L95" s="9" t="s">
        <v>433</v>
      </c>
      <c r="M95" s="8"/>
    </row>
    <row r="96" customFormat="false" ht="15" hidden="false" customHeight="true" outlineLevel="0" collapsed="false">
      <c r="A96" s="8" t="n">
        <v>90</v>
      </c>
      <c r="B96" s="8" t="n">
        <v>15</v>
      </c>
      <c r="C96" s="9" t="s">
        <v>145</v>
      </c>
      <c r="D96" s="8" t="s">
        <v>434</v>
      </c>
      <c r="E96" s="13" t="s">
        <v>435</v>
      </c>
      <c r="F96" s="10" t="s">
        <v>23</v>
      </c>
      <c r="G96" s="10" t="s">
        <v>23</v>
      </c>
      <c r="H96" s="11" t="s">
        <v>24</v>
      </c>
      <c r="I96" s="11" t="s">
        <v>24</v>
      </c>
      <c r="J96" s="12"/>
      <c r="K96" s="9" t="s">
        <v>436</v>
      </c>
      <c r="L96" s="9" t="s">
        <v>433</v>
      </c>
      <c r="M96" s="8"/>
    </row>
    <row r="97" customFormat="false" ht="15" hidden="false" customHeight="true" outlineLevel="0" collapsed="false">
      <c r="A97" s="8" t="n">
        <v>91</v>
      </c>
      <c r="B97" s="8" t="n">
        <v>15</v>
      </c>
      <c r="C97" s="9" t="s">
        <v>145</v>
      </c>
      <c r="D97" s="8" t="s">
        <v>437</v>
      </c>
      <c r="E97" s="13" t="s">
        <v>438</v>
      </c>
      <c r="F97" s="10" t="s">
        <v>23</v>
      </c>
      <c r="G97" s="10" t="s">
        <v>23</v>
      </c>
      <c r="H97" s="11" t="s">
        <v>24</v>
      </c>
      <c r="I97" s="11" t="s">
        <v>24</v>
      </c>
      <c r="J97" s="12"/>
      <c r="K97" s="9" t="s">
        <v>436</v>
      </c>
      <c r="L97" s="9" t="s">
        <v>433</v>
      </c>
      <c r="M97" s="8"/>
    </row>
    <row r="98" customFormat="false" ht="15" hidden="false" customHeight="true" outlineLevel="0" collapsed="false">
      <c r="A98" s="8" t="n">
        <v>92</v>
      </c>
      <c r="B98" s="8" t="n">
        <v>15</v>
      </c>
      <c r="C98" s="9" t="s">
        <v>145</v>
      </c>
      <c r="D98" s="8" t="s">
        <v>439</v>
      </c>
      <c r="E98" s="13" t="s">
        <v>440</v>
      </c>
      <c r="F98" s="10" t="s">
        <v>23</v>
      </c>
      <c r="G98" s="10" t="s">
        <v>23</v>
      </c>
      <c r="H98" s="11" t="s">
        <v>24</v>
      </c>
      <c r="I98" s="11" t="s">
        <v>24</v>
      </c>
      <c r="J98" s="12"/>
      <c r="K98" s="9" t="s">
        <v>436</v>
      </c>
      <c r="L98" s="9" t="s">
        <v>433</v>
      </c>
      <c r="M98" s="8"/>
    </row>
    <row r="99" customFormat="false" ht="15" hidden="false" customHeight="true" outlineLevel="0" collapsed="false">
      <c r="A99" s="8" t="n">
        <v>93</v>
      </c>
      <c r="B99" s="8" t="n">
        <v>15</v>
      </c>
      <c r="C99" s="9" t="s">
        <v>145</v>
      </c>
      <c r="D99" s="8" t="s">
        <v>441</v>
      </c>
      <c r="E99" s="13" t="s">
        <v>442</v>
      </c>
      <c r="F99" s="10" t="s">
        <v>23</v>
      </c>
      <c r="G99" s="10" t="s">
        <v>23</v>
      </c>
      <c r="H99" s="11" t="s">
        <v>24</v>
      </c>
      <c r="I99" s="11" t="s">
        <v>24</v>
      </c>
      <c r="J99" s="12"/>
      <c r="K99" s="9" t="s">
        <v>436</v>
      </c>
      <c r="L99" s="9" t="s">
        <v>433</v>
      </c>
      <c r="M99" s="8"/>
    </row>
    <row r="100" customFormat="false" ht="15" hidden="false" customHeight="true" outlineLevel="0" collapsed="false">
      <c r="A100" s="8" t="n">
        <v>94</v>
      </c>
      <c r="B100" s="8" t="n">
        <v>15</v>
      </c>
      <c r="C100" s="9" t="s">
        <v>145</v>
      </c>
      <c r="D100" s="8" t="s">
        <v>443</v>
      </c>
      <c r="E100" s="13" t="s">
        <v>444</v>
      </c>
      <c r="F100" s="10" t="s">
        <v>23</v>
      </c>
      <c r="G100" s="10" t="s">
        <v>23</v>
      </c>
      <c r="H100" s="11" t="s">
        <v>24</v>
      </c>
      <c r="I100" s="11" t="s">
        <v>24</v>
      </c>
      <c r="J100" s="12"/>
      <c r="K100" s="9" t="s">
        <v>436</v>
      </c>
      <c r="L100" s="9" t="s">
        <v>433</v>
      </c>
      <c r="M100" s="8"/>
    </row>
    <row r="101" customFormat="false" ht="15" hidden="false" customHeight="true" outlineLevel="0" collapsed="false">
      <c r="A101" s="8" t="n">
        <v>95</v>
      </c>
      <c r="B101" s="8" t="n">
        <v>15</v>
      </c>
      <c r="C101" s="9" t="s">
        <v>145</v>
      </c>
      <c r="D101" s="8" t="s">
        <v>445</v>
      </c>
      <c r="E101" s="13" t="s">
        <v>446</v>
      </c>
      <c r="F101" s="10" t="s">
        <v>23</v>
      </c>
      <c r="G101" s="10" t="s">
        <v>23</v>
      </c>
      <c r="H101" s="11" t="s">
        <v>24</v>
      </c>
      <c r="I101" s="11" t="s">
        <v>24</v>
      </c>
      <c r="J101" s="12"/>
      <c r="K101" s="9" t="s">
        <v>436</v>
      </c>
      <c r="L101" s="9" t="s">
        <v>433</v>
      </c>
      <c r="M101" s="8"/>
    </row>
    <row r="102" customFormat="false" ht="15" hidden="false" customHeight="true" outlineLevel="0" collapsed="false">
      <c r="A102" s="8" t="n">
        <v>96</v>
      </c>
      <c r="B102" s="8" t="n">
        <v>16</v>
      </c>
      <c r="C102" s="9" t="s">
        <v>152</v>
      </c>
      <c r="D102" s="8" t="s">
        <v>447</v>
      </c>
      <c r="E102" s="13" t="s">
        <v>239</v>
      </c>
      <c r="F102" s="10" t="s">
        <v>23</v>
      </c>
      <c r="G102" s="10" t="s">
        <v>23</v>
      </c>
      <c r="H102" s="11" t="s">
        <v>24</v>
      </c>
      <c r="I102" s="11" t="s">
        <v>24</v>
      </c>
      <c r="J102" s="12"/>
      <c r="K102" s="8"/>
      <c r="L102" s="9" t="s">
        <v>240</v>
      </c>
      <c r="M102" s="8"/>
    </row>
    <row r="103" customFormat="false" ht="15" hidden="false" customHeight="true" outlineLevel="0" collapsed="false">
      <c r="A103" s="8" t="n">
        <v>97</v>
      </c>
      <c r="B103" s="8" t="n">
        <v>16</v>
      </c>
      <c r="C103" s="9" t="s">
        <v>152</v>
      </c>
      <c r="D103" s="8" t="s">
        <v>448</v>
      </c>
      <c r="E103" s="13" t="s">
        <v>449</v>
      </c>
      <c r="F103" s="10" t="s">
        <v>23</v>
      </c>
      <c r="G103" s="10" t="s">
        <v>23</v>
      </c>
      <c r="H103" s="11" t="s">
        <v>24</v>
      </c>
      <c r="I103" s="11" t="s">
        <v>24</v>
      </c>
      <c r="J103" s="12"/>
      <c r="K103" s="8"/>
      <c r="L103" s="9" t="s">
        <v>240</v>
      </c>
      <c r="M103" s="8"/>
    </row>
    <row r="104" customFormat="false" ht="15" hidden="false" customHeight="true" outlineLevel="0" collapsed="false">
      <c r="A104" s="8" t="n">
        <v>98</v>
      </c>
      <c r="B104" s="8" t="n">
        <v>16</v>
      </c>
      <c r="C104" s="9" t="s">
        <v>152</v>
      </c>
      <c r="D104" s="8" t="s">
        <v>450</v>
      </c>
      <c r="E104" s="13" t="s">
        <v>451</v>
      </c>
      <c r="F104" s="10" t="s">
        <v>23</v>
      </c>
      <c r="G104" s="10" t="s">
        <v>23</v>
      </c>
      <c r="H104" s="11" t="s">
        <v>24</v>
      </c>
      <c r="I104" s="11" t="s">
        <v>24</v>
      </c>
      <c r="J104" s="12"/>
      <c r="K104" s="8"/>
      <c r="L104" s="9" t="s">
        <v>240</v>
      </c>
      <c r="M104" s="8"/>
    </row>
    <row r="105" customFormat="false" ht="15" hidden="false" customHeight="true" outlineLevel="0" collapsed="false">
      <c r="A105" s="8" t="n">
        <v>99</v>
      </c>
      <c r="B105" s="8" t="n">
        <v>16</v>
      </c>
      <c r="C105" s="9" t="s">
        <v>152</v>
      </c>
      <c r="D105" s="8" t="s">
        <v>452</v>
      </c>
      <c r="E105" s="13" t="s">
        <v>453</v>
      </c>
      <c r="F105" s="10" t="s">
        <v>23</v>
      </c>
      <c r="G105" s="10" t="s">
        <v>23</v>
      </c>
      <c r="H105" s="11" t="s">
        <v>24</v>
      </c>
      <c r="I105" s="11" t="s">
        <v>24</v>
      </c>
      <c r="J105" s="12"/>
      <c r="K105" s="8"/>
      <c r="L105" s="9" t="s">
        <v>240</v>
      </c>
      <c r="M105" s="8"/>
    </row>
    <row r="106" customFormat="false" ht="15" hidden="false" customHeight="true" outlineLevel="0" collapsed="false">
      <c r="A106" s="8" t="n">
        <v>100</v>
      </c>
      <c r="B106" s="8" t="n">
        <v>17</v>
      </c>
      <c r="C106" s="9" t="s">
        <v>156</v>
      </c>
      <c r="D106" s="8" t="s">
        <v>454</v>
      </c>
      <c r="E106" s="13" t="s">
        <v>239</v>
      </c>
      <c r="F106" s="10" t="s">
        <v>23</v>
      </c>
      <c r="G106" s="10" t="s">
        <v>23</v>
      </c>
      <c r="H106" s="11" t="s">
        <v>24</v>
      </c>
      <c r="I106" s="11" t="s">
        <v>24</v>
      </c>
      <c r="J106" s="12"/>
      <c r="K106" s="8"/>
      <c r="L106" s="9" t="s">
        <v>240</v>
      </c>
      <c r="M106" s="8"/>
    </row>
    <row r="107" customFormat="false" ht="15" hidden="false" customHeight="true" outlineLevel="0" collapsed="false">
      <c r="A107" s="8" t="n">
        <v>101</v>
      </c>
      <c r="B107" s="8" t="n">
        <v>17</v>
      </c>
      <c r="C107" s="9" t="s">
        <v>156</v>
      </c>
      <c r="D107" s="8" t="s">
        <v>455</v>
      </c>
      <c r="E107" s="13" t="s">
        <v>456</v>
      </c>
      <c r="F107" s="10" t="s">
        <v>23</v>
      </c>
      <c r="G107" s="10" t="s">
        <v>23</v>
      </c>
      <c r="H107" s="11" t="s">
        <v>24</v>
      </c>
      <c r="I107" s="11" t="s">
        <v>24</v>
      </c>
      <c r="J107" s="12"/>
      <c r="K107" s="8"/>
      <c r="L107" s="9" t="s">
        <v>240</v>
      </c>
      <c r="M107" s="8"/>
    </row>
    <row r="108" customFormat="false" ht="15" hidden="false" customHeight="true" outlineLevel="0" collapsed="false">
      <c r="A108" s="8" t="n">
        <v>102</v>
      </c>
      <c r="B108" s="8" t="n">
        <v>17</v>
      </c>
      <c r="C108" s="9" t="s">
        <v>156</v>
      </c>
      <c r="D108" s="8" t="s">
        <v>457</v>
      </c>
      <c r="E108" s="13" t="s">
        <v>458</v>
      </c>
      <c r="F108" s="10" t="s">
        <v>23</v>
      </c>
      <c r="G108" s="10" t="s">
        <v>23</v>
      </c>
      <c r="H108" s="11" t="s">
        <v>24</v>
      </c>
      <c r="I108" s="11" t="s">
        <v>24</v>
      </c>
      <c r="J108" s="12"/>
      <c r="K108" s="8"/>
      <c r="L108" s="9" t="s">
        <v>240</v>
      </c>
      <c r="M108" s="8"/>
    </row>
    <row r="109" customFormat="false" ht="15" hidden="false" customHeight="true" outlineLevel="0" collapsed="false">
      <c r="A109" s="8" t="n">
        <v>103</v>
      </c>
      <c r="B109" s="8" t="n">
        <v>17</v>
      </c>
      <c r="C109" s="9" t="s">
        <v>156</v>
      </c>
      <c r="D109" s="8" t="s">
        <v>459</v>
      </c>
      <c r="E109" s="13" t="s">
        <v>460</v>
      </c>
      <c r="F109" s="10" t="s">
        <v>23</v>
      </c>
      <c r="G109" s="10" t="s">
        <v>23</v>
      </c>
      <c r="H109" s="11" t="s">
        <v>24</v>
      </c>
      <c r="I109" s="11" t="s">
        <v>24</v>
      </c>
      <c r="J109" s="12"/>
      <c r="K109" s="8"/>
      <c r="L109" s="9" t="s">
        <v>240</v>
      </c>
      <c r="M109" s="8"/>
    </row>
    <row r="110" customFormat="false" ht="15" hidden="false" customHeight="true" outlineLevel="0" collapsed="false">
      <c r="A110" s="8" t="n">
        <v>104</v>
      </c>
      <c r="B110" s="8" t="n">
        <v>18</v>
      </c>
      <c r="C110" s="9" t="s">
        <v>159</v>
      </c>
      <c r="D110" s="8" t="s">
        <v>461</v>
      </c>
      <c r="E110" s="13" t="s">
        <v>239</v>
      </c>
      <c r="F110" s="10" t="s">
        <v>23</v>
      </c>
      <c r="G110" s="10" t="s">
        <v>23</v>
      </c>
      <c r="H110" s="11" t="s">
        <v>24</v>
      </c>
      <c r="I110" s="11" t="s">
        <v>24</v>
      </c>
      <c r="J110" s="12"/>
      <c r="K110" s="9" t="s">
        <v>462</v>
      </c>
      <c r="L110" s="9" t="s">
        <v>463</v>
      </c>
      <c r="M110" s="8"/>
    </row>
    <row r="111" customFormat="false" ht="15" hidden="false" customHeight="true" outlineLevel="0" collapsed="false">
      <c r="A111" s="8" t="n">
        <v>105</v>
      </c>
      <c r="B111" s="8" t="n">
        <v>18</v>
      </c>
      <c r="C111" s="9" t="s">
        <v>159</v>
      </c>
      <c r="D111" s="8" t="s">
        <v>464</v>
      </c>
      <c r="E111" s="13" t="s">
        <v>435</v>
      </c>
      <c r="F111" s="10" t="s">
        <v>23</v>
      </c>
      <c r="G111" s="10" t="s">
        <v>23</v>
      </c>
      <c r="H111" s="11" t="s">
        <v>24</v>
      </c>
      <c r="I111" s="11" t="s">
        <v>24</v>
      </c>
      <c r="J111" s="12"/>
      <c r="K111" s="9" t="s">
        <v>465</v>
      </c>
      <c r="L111" s="9" t="s">
        <v>463</v>
      </c>
      <c r="M111" s="8"/>
    </row>
    <row r="112" customFormat="false" ht="15" hidden="false" customHeight="true" outlineLevel="0" collapsed="false">
      <c r="A112" s="8" t="n">
        <v>106</v>
      </c>
      <c r="B112" s="8" t="n">
        <v>18</v>
      </c>
      <c r="C112" s="9" t="s">
        <v>159</v>
      </c>
      <c r="D112" s="8" t="s">
        <v>466</v>
      </c>
      <c r="E112" s="14" t="s">
        <v>467</v>
      </c>
      <c r="F112" s="10" t="s">
        <v>23</v>
      </c>
      <c r="G112" s="10" t="s">
        <v>23</v>
      </c>
      <c r="H112" s="11" t="s">
        <v>24</v>
      </c>
      <c r="I112" s="11" t="s">
        <v>24</v>
      </c>
      <c r="J112" s="12"/>
      <c r="K112" s="9" t="s">
        <v>468</v>
      </c>
      <c r="L112" s="9" t="s">
        <v>463</v>
      </c>
      <c r="M112" s="9" t="s">
        <v>469</v>
      </c>
    </row>
    <row r="113" customFormat="false" ht="15" hidden="false" customHeight="true" outlineLevel="0" collapsed="false">
      <c r="A113" s="8" t="n">
        <v>107</v>
      </c>
      <c r="B113" s="8" t="n">
        <v>18</v>
      </c>
      <c r="C113" s="9" t="s">
        <v>159</v>
      </c>
      <c r="D113" s="8" t="s">
        <v>470</v>
      </c>
      <c r="E113" s="13" t="s">
        <v>471</v>
      </c>
      <c r="F113" s="10" t="s">
        <v>23</v>
      </c>
      <c r="G113" s="10" t="s">
        <v>23</v>
      </c>
      <c r="H113" s="11" t="s">
        <v>24</v>
      </c>
      <c r="I113" s="11" t="s">
        <v>24</v>
      </c>
      <c r="J113" s="12"/>
      <c r="K113" s="9" t="s">
        <v>465</v>
      </c>
      <c r="L113" s="9" t="s">
        <v>463</v>
      </c>
      <c r="M113" s="8"/>
    </row>
    <row r="114" customFormat="false" ht="15" hidden="false" customHeight="true" outlineLevel="0" collapsed="false">
      <c r="A114" s="8" t="n">
        <v>108</v>
      </c>
      <c r="B114" s="8" t="n">
        <v>18</v>
      </c>
      <c r="C114" s="9" t="s">
        <v>159</v>
      </c>
      <c r="D114" s="8" t="s">
        <v>472</v>
      </c>
      <c r="E114" s="13" t="s">
        <v>473</v>
      </c>
      <c r="F114" s="10" t="s">
        <v>23</v>
      </c>
      <c r="G114" s="10" t="s">
        <v>23</v>
      </c>
      <c r="H114" s="11" t="s">
        <v>24</v>
      </c>
      <c r="I114" s="11" t="s">
        <v>24</v>
      </c>
      <c r="J114" s="12"/>
      <c r="K114" s="9" t="s">
        <v>465</v>
      </c>
      <c r="L114" s="9" t="s">
        <v>463</v>
      </c>
      <c r="M114" s="8"/>
    </row>
    <row r="115" customFormat="false" ht="15" hidden="false" customHeight="true" outlineLevel="0" collapsed="false">
      <c r="A115" s="8" t="n">
        <v>109</v>
      </c>
      <c r="B115" s="8" t="n">
        <v>18</v>
      </c>
      <c r="C115" s="9" t="s">
        <v>159</v>
      </c>
      <c r="D115" s="8" t="s">
        <v>474</v>
      </c>
      <c r="E115" s="13" t="s">
        <v>475</v>
      </c>
      <c r="F115" s="10" t="s">
        <v>23</v>
      </c>
      <c r="G115" s="10" t="s">
        <v>23</v>
      </c>
      <c r="H115" s="11" t="s">
        <v>24</v>
      </c>
      <c r="I115" s="11" t="s">
        <v>24</v>
      </c>
      <c r="J115" s="12"/>
      <c r="K115" s="9" t="s">
        <v>465</v>
      </c>
      <c r="L115" s="9" t="s">
        <v>463</v>
      </c>
      <c r="M115" s="8"/>
    </row>
    <row r="116" customFormat="false" ht="15" hidden="false" customHeight="true" outlineLevel="0" collapsed="false">
      <c r="A116" s="8" t="n">
        <v>110</v>
      </c>
      <c r="B116" s="8" t="n">
        <v>18</v>
      </c>
      <c r="C116" s="9" t="s">
        <v>159</v>
      </c>
      <c r="D116" s="8" t="s">
        <v>476</v>
      </c>
      <c r="E116" s="14" t="s">
        <v>477</v>
      </c>
      <c r="F116" s="10" t="s">
        <v>23</v>
      </c>
      <c r="G116" s="10" t="s">
        <v>23</v>
      </c>
      <c r="H116" s="11" t="s">
        <v>24</v>
      </c>
      <c r="I116" s="11" t="s">
        <v>24</v>
      </c>
      <c r="J116" s="12"/>
      <c r="K116" s="9" t="s">
        <v>465</v>
      </c>
      <c r="L116" s="9" t="s">
        <v>463</v>
      </c>
      <c r="M116" s="9" t="s">
        <v>478</v>
      </c>
    </row>
    <row r="117" customFormat="false" ht="15" hidden="false" customHeight="true" outlineLevel="0" collapsed="false">
      <c r="A117" s="8" t="n">
        <v>111</v>
      </c>
      <c r="B117" s="8" t="n">
        <v>18</v>
      </c>
      <c r="C117" s="9" t="s">
        <v>159</v>
      </c>
      <c r="D117" s="8" t="s">
        <v>479</v>
      </c>
      <c r="E117" s="13" t="s">
        <v>480</v>
      </c>
      <c r="F117" s="10" t="s">
        <v>23</v>
      </c>
      <c r="G117" s="10" t="s">
        <v>23</v>
      </c>
      <c r="H117" s="11" t="s">
        <v>24</v>
      </c>
      <c r="I117" s="11" t="s">
        <v>24</v>
      </c>
      <c r="J117" s="12"/>
      <c r="K117" s="9" t="s">
        <v>465</v>
      </c>
      <c r="L117" s="9" t="s">
        <v>463</v>
      </c>
      <c r="M117" s="9" t="s">
        <v>481</v>
      </c>
    </row>
    <row r="118" customFormat="false" ht="15" hidden="false" customHeight="true" outlineLevel="0" collapsed="false">
      <c r="A118" s="8" t="n">
        <v>112</v>
      </c>
      <c r="B118" s="8" t="n">
        <v>19</v>
      </c>
      <c r="C118" s="9" t="s">
        <v>165</v>
      </c>
      <c r="D118" s="8" t="s">
        <v>482</v>
      </c>
      <c r="E118" s="13" t="s">
        <v>239</v>
      </c>
      <c r="F118" s="10" t="s">
        <v>23</v>
      </c>
      <c r="G118" s="10" t="s">
        <v>23</v>
      </c>
      <c r="H118" s="11" t="s">
        <v>24</v>
      </c>
      <c r="I118" s="11" t="s">
        <v>24</v>
      </c>
      <c r="J118" s="12"/>
      <c r="K118" s="9" t="s">
        <v>483</v>
      </c>
      <c r="L118" s="9" t="s">
        <v>484</v>
      </c>
      <c r="M118" s="8"/>
    </row>
    <row r="119" customFormat="false" ht="15" hidden="false" customHeight="true" outlineLevel="0" collapsed="false">
      <c r="A119" s="8" t="n">
        <v>113</v>
      </c>
      <c r="B119" s="8" t="n">
        <v>19</v>
      </c>
      <c r="C119" s="9" t="s">
        <v>165</v>
      </c>
      <c r="D119" s="8" t="s">
        <v>485</v>
      </c>
      <c r="E119" s="13" t="s">
        <v>435</v>
      </c>
      <c r="F119" s="10" t="s">
        <v>23</v>
      </c>
      <c r="G119" s="10" t="s">
        <v>23</v>
      </c>
      <c r="H119" s="11" t="s">
        <v>24</v>
      </c>
      <c r="I119" s="11" t="s">
        <v>24</v>
      </c>
      <c r="J119" s="12"/>
      <c r="K119" s="9" t="s">
        <v>486</v>
      </c>
      <c r="L119" s="9" t="s">
        <v>484</v>
      </c>
      <c r="M119" s="8"/>
    </row>
    <row r="120" customFormat="false" ht="15" hidden="false" customHeight="true" outlineLevel="0" collapsed="false">
      <c r="A120" s="8" t="n">
        <v>114</v>
      </c>
      <c r="B120" s="8" t="n">
        <v>19</v>
      </c>
      <c r="C120" s="9" t="s">
        <v>165</v>
      </c>
      <c r="D120" s="8" t="s">
        <v>487</v>
      </c>
      <c r="E120" s="13" t="s">
        <v>488</v>
      </c>
      <c r="F120" s="10" t="s">
        <v>23</v>
      </c>
      <c r="G120" s="10" t="s">
        <v>23</v>
      </c>
      <c r="H120" s="11" t="s">
        <v>24</v>
      </c>
      <c r="I120" s="11" t="s">
        <v>24</v>
      </c>
      <c r="J120" s="12"/>
      <c r="K120" s="9" t="s">
        <v>486</v>
      </c>
      <c r="L120" s="9" t="s">
        <v>484</v>
      </c>
      <c r="M120" s="8"/>
    </row>
    <row r="121" customFormat="false" ht="15" hidden="false" customHeight="true" outlineLevel="0" collapsed="false">
      <c r="A121" s="8" t="n">
        <v>115</v>
      </c>
      <c r="B121" s="8" t="n">
        <v>19</v>
      </c>
      <c r="C121" s="9" t="s">
        <v>165</v>
      </c>
      <c r="D121" s="8" t="s">
        <v>489</v>
      </c>
      <c r="E121" s="14" t="s">
        <v>490</v>
      </c>
      <c r="F121" s="10" t="s">
        <v>23</v>
      </c>
      <c r="G121" s="10" t="s">
        <v>23</v>
      </c>
      <c r="H121" s="11" t="s">
        <v>24</v>
      </c>
      <c r="I121" s="11" t="s">
        <v>24</v>
      </c>
      <c r="J121" s="12"/>
      <c r="K121" s="9" t="s">
        <v>486</v>
      </c>
      <c r="L121" s="9" t="s">
        <v>484</v>
      </c>
      <c r="M121" s="8"/>
    </row>
    <row r="122" customFormat="false" ht="15" hidden="false" customHeight="true" outlineLevel="0" collapsed="false">
      <c r="A122" s="8" t="n">
        <v>116</v>
      </c>
      <c r="B122" s="8" t="n">
        <v>19</v>
      </c>
      <c r="C122" s="9" t="s">
        <v>165</v>
      </c>
      <c r="D122" s="8" t="s">
        <v>491</v>
      </c>
      <c r="E122" s="13" t="s">
        <v>492</v>
      </c>
      <c r="F122" s="10" t="s">
        <v>23</v>
      </c>
      <c r="G122" s="10" t="s">
        <v>23</v>
      </c>
      <c r="H122" s="11" t="s">
        <v>24</v>
      </c>
      <c r="I122" s="11" t="s">
        <v>24</v>
      </c>
      <c r="J122" s="12"/>
      <c r="K122" s="9" t="s">
        <v>486</v>
      </c>
      <c r="L122" s="9" t="s">
        <v>484</v>
      </c>
      <c r="M122" s="8"/>
    </row>
    <row r="123" customFormat="false" ht="15" hidden="false" customHeight="true" outlineLevel="0" collapsed="false">
      <c r="A123" s="8" t="n">
        <v>117</v>
      </c>
      <c r="B123" s="8" t="n">
        <v>20</v>
      </c>
      <c r="C123" s="9" t="s">
        <v>171</v>
      </c>
      <c r="D123" s="8" t="s">
        <v>493</v>
      </c>
      <c r="E123" s="13" t="s">
        <v>494</v>
      </c>
      <c r="F123" s="10" t="s">
        <v>23</v>
      </c>
      <c r="G123" s="10" t="s">
        <v>23</v>
      </c>
      <c r="H123" s="11" t="s">
        <v>24</v>
      </c>
      <c r="I123" s="11" t="s">
        <v>24</v>
      </c>
      <c r="J123" s="12"/>
      <c r="K123" s="9" t="s">
        <v>495</v>
      </c>
      <c r="L123" s="9" t="s">
        <v>496</v>
      </c>
      <c r="M123" s="8"/>
    </row>
    <row r="124" customFormat="false" ht="15" hidden="false" customHeight="true" outlineLevel="0" collapsed="false">
      <c r="A124" s="8" t="n">
        <v>118</v>
      </c>
      <c r="B124" s="8" t="n">
        <v>20</v>
      </c>
      <c r="C124" s="9" t="s">
        <v>171</v>
      </c>
      <c r="D124" s="8" t="s">
        <v>497</v>
      </c>
      <c r="E124" s="13" t="s">
        <v>498</v>
      </c>
      <c r="F124" s="10" t="s">
        <v>23</v>
      </c>
      <c r="G124" s="10" t="s">
        <v>23</v>
      </c>
      <c r="H124" s="11" t="s">
        <v>24</v>
      </c>
      <c r="I124" s="11" t="s">
        <v>24</v>
      </c>
      <c r="J124" s="12"/>
      <c r="K124" s="9" t="s">
        <v>499</v>
      </c>
      <c r="L124" s="9" t="s">
        <v>496</v>
      </c>
      <c r="M124" s="8"/>
    </row>
    <row r="125" customFormat="false" ht="15" hidden="false" customHeight="true" outlineLevel="0" collapsed="false">
      <c r="A125" s="8" t="n">
        <v>119</v>
      </c>
      <c r="B125" s="8" t="n">
        <v>20</v>
      </c>
      <c r="C125" s="9" t="s">
        <v>171</v>
      </c>
      <c r="D125" s="8" t="s">
        <v>500</v>
      </c>
      <c r="E125" s="13" t="s">
        <v>501</v>
      </c>
      <c r="F125" s="10" t="s">
        <v>23</v>
      </c>
      <c r="G125" s="10" t="s">
        <v>23</v>
      </c>
      <c r="H125" s="11" t="s">
        <v>24</v>
      </c>
      <c r="I125" s="11" t="s">
        <v>24</v>
      </c>
      <c r="J125" s="12"/>
      <c r="K125" s="9" t="s">
        <v>499</v>
      </c>
      <c r="L125" s="9" t="s">
        <v>496</v>
      </c>
      <c r="M125" s="8"/>
    </row>
    <row r="126" customFormat="false" ht="15" hidden="false" customHeight="true" outlineLevel="0" collapsed="false">
      <c r="A126" s="8" t="n">
        <v>120</v>
      </c>
      <c r="B126" s="8" t="n">
        <v>21</v>
      </c>
      <c r="C126" s="9" t="s">
        <v>177</v>
      </c>
      <c r="D126" s="8" t="s">
        <v>502</v>
      </c>
      <c r="E126" s="13" t="s">
        <v>239</v>
      </c>
      <c r="F126" s="10" t="s">
        <v>23</v>
      </c>
      <c r="G126" s="10" t="s">
        <v>23</v>
      </c>
      <c r="H126" s="11" t="s">
        <v>24</v>
      </c>
      <c r="I126" s="11" t="s">
        <v>24</v>
      </c>
      <c r="J126" s="12"/>
      <c r="K126" s="9" t="s">
        <v>503</v>
      </c>
      <c r="L126" s="9" t="s">
        <v>504</v>
      </c>
      <c r="M126" s="8"/>
    </row>
    <row r="127" customFormat="false" ht="15" hidden="false" customHeight="true" outlineLevel="0" collapsed="false">
      <c r="A127" s="8" t="n">
        <v>121</v>
      </c>
      <c r="B127" s="8" t="n">
        <v>21</v>
      </c>
      <c r="C127" s="9" t="s">
        <v>177</v>
      </c>
      <c r="D127" s="8" t="s">
        <v>505</v>
      </c>
      <c r="E127" s="13" t="s">
        <v>435</v>
      </c>
      <c r="F127" s="10" t="s">
        <v>23</v>
      </c>
      <c r="G127" s="10" t="s">
        <v>23</v>
      </c>
      <c r="H127" s="11" t="s">
        <v>24</v>
      </c>
      <c r="I127" s="11" t="s">
        <v>24</v>
      </c>
      <c r="J127" s="12"/>
      <c r="K127" s="9" t="s">
        <v>506</v>
      </c>
      <c r="L127" s="9" t="s">
        <v>504</v>
      </c>
      <c r="M127" s="8"/>
    </row>
    <row r="128" customFormat="false" ht="15" hidden="false" customHeight="true" outlineLevel="0" collapsed="false">
      <c r="A128" s="8" t="n">
        <v>122</v>
      </c>
      <c r="B128" s="8" t="n">
        <v>21</v>
      </c>
      <c r="C128" s="9" t="s">
        <v>177</v>
      </c>
      <c r="D128" s="8" t="s">
        <v>507</v>
      </c>
      <c r="E128" s="13" t="s">
        <v>508</v>
      </c>
      <c r="F128" s="10" t="s">
        <v>23</v>
      </c>
      <c r="G128" s="10" t="s">
        <v>23</v>
      </c>
      <c r="H128" s="11" t="s">
        <v>24</v>
      </c>
      <c r="I128" s="11" t="s">
        <v>24</v>
      </c>
      <c r="J128" s="12"/>
      <c r="K128" s="9" t="s">
        <v>506</v>
      </c>
      <c r="L128" s="9" t="s">
        <v>504</v>
      </c>
      <c r="M128" s="8"/>
    </row>
    <row r="129" customFormat="false" ht="15" hidden="false" customHeight="true" outlineLevel="0" collapsed="false">
      <c r="A129" s="8" t="n">
        <v>123</v>
      </c>
      <c r="B129" s="8" t="n">
        <v>22</v>
      </c>
      <c r="C129" s="9" t="s">
        <v>184</v>
      </c>
      <c r="D129" s="8" t="s">
        <v>509</v>
      </c>
      <c r="E129" s="13" t="s">
        <v>239</v>
      </c>
      <c r="F129" s="10" t="s">
        <v>23</v>
      </c>
      <c r="G129" s="10" t="s">
        <v>23</v>
      </c>
      <c r="H129" s="11" t="s">
        <v>24</v>
      </c>
      <c r="I129" s="11" t="s">
        <v>24</v>
      </c>
      <c r="J129" s="12"/>
      <c r="K129" s="9" t="s">
        <v>510</v>
      </c>
      <c r="L129" s="9" t="s">
        <v>511</v>
      </c>
      <c r="M129" s="8"/>
    </row>
    <row r="130" customFormat="false" ht="15" hidden="false" customHeight="true" outlineLevel="0" collapsed="false">
      <c r="A130" s="8" t="n">
        <v>124</v>
      </c>
      <c r="B130" s="8" t="n">
        <v>22</v>
      </c>
      <c r="C130" s="9" t="s">
        <v>184</v>
      </c>
      <c r="D130" s="8" t="s">
        <v>512</v>
      </c>
      <c r="E130" s="13" t="s">
        <v>435</v>
      </c>
      <c r="F130" s="10" t="s">
        <v>23</v>
      </c>
      <c r="G130" s="10" t="s">
        <v>23</v>
      </c>
      <c r="H130" s="11" t="s">
        <v>24</v>
      </c>
      <c r="I130" s="11" t="s">
        <v>24</v>
      </c>
      <c r="J130" s="12"/>
      <c r="K130" s="9" t="s">
        <v>513</v>
      </c>
      <c r="L130" s="9" t="s">
        <v>511</v>
      </c>
      <c r="M130" s="8"/>
    </row>
    <row r="131" customFormat="false" ht="15" hidden="false" customHeight="true" outlineLevel="0" collapsed="false">
      <c r="A131" s="8" t="n">
        <v>125</v>
      </c>
      <c r="B131" s="8" t="n">
        <v>22</v>
      </c>
      <c r="C131" s="9" t="s">
        <v>184</v>
      </c>
      <c r="D131" s="8" t="s">
        <v>514</v>
      </c>
      <c r="E131" s="13" t="s">
        <v>515</v>
      </c>
      <c r="F131" s="10" t="s">
        <v>23</v>
      </c>
      <c r="G131" s="10" t="s">
        <v>23</v>
      </c>
      <c r="H131" s="11" t="s">
        <v>24</v>
      </c>
      <c r="I131" s="11" t="s">
        <v>24</v>
      </c>
      <c r="J131" s="12"/>
      <c r="K131" s="9" t="s">
        <v>513</v>
      </c>
      <c r="L131" s="9" t="s">
        <v>511</v>
      </c>
      <c r="M131" s="8"/>
    </row>
    <row r="132" customFormat="false" ht="15" hidden="false" customHeight="true" outlineLevel="0" collapsed="false">
      <c r="A132" s="8" t="n">
        <v>126</v>
      </c>
      <c r="B132" s="8" t="n">
        <v>22</v>
      </c>
      <c r="C132" s="9" t="s">
        <v>184</v>
      </c>
      <c r="D132" s="8" t="s">
        <v>516</v>
      </c>
      <c r="E132" s="13" t="s">
        <v>517</v>
      </c>
      <c r="F132" s="10" t="s">
        <v>23</v>
      </c>
      <c r="G132" s="10" t="s">
        <v>23</v>
      </c>
      <c r="H132" s="11" t="s">
        <v>24</v>
      </c>
      <c r="I132" s="11" t="s">
        <v>24</v>
      </c>
      <c r="J132" s="12"/>
      <c r="K132" s="9" t="s">
        <v>513</v>
      </c>
      <c r="L132" s="9" t="s">
        <v>511</v>
      </c>
      <c r="M132" s="8"/>
    </row>
    <row r="133" customFormat="false" ht="15" hidden="false" customHeight="true" outlineLevel="0" collapsed="false">
      <c r="A133" s="8" t="n">
        <v>127</v>
      </c>
      <c r="B133" s="8" t="n">
        <v>23</v>
      </c>
      <c r="C133" s="9" t="s">
        <v>192</v>
      </c>
      <c r="D133" s="8" t="s">
        <v>518</v>
      </c>
      <c r="E133" s="13" t="s">
        <v>239</v>
      </c>
      <c r="F133" s="10" t="s">
        <v>23</v>
      </c>
      <c r="G133" s="10" t="s">
        <v>23</v>
      </c>
      <c r="H133" s="11" t="s">
        <v>24</v>
      </c>
      <c r="I133" s="11" t="s">
        <v>24</v>
      </c>
      <c r="J133" s="12"/>
      <c r="K133" s="9" t="s">
        <v>519</v>
      </c>
      <c r="L133" s="9" t="s">
        <v>520</v>
      </c>
      <c r="M133" s="8"/>
    </row>
    <row r="134" customFormat="false" ht="15" hidden="false" customHeight="true" outlineLevel="0" collapsed="false">
      <c r="A134" s="8" t="n">
        <v>128</v>
      </c>
      <c r="B134" s="8" t="n">
        <v>23</v>
      </c>
      <c r="C134" s="9" t="s">
        <v>192</v>
      </c>
      <c r="D134" s="8" t="s">
        <v>521</v>
      </c>
      <c r="E134" s="13" t="s">
        <v>435</v>
      </c>
      <c r="F134" s="10" t="s">
        <v>23</v>
      </c>
      <c r="G134" s="10" t="s">
        <v>23</v>
      </c>
      <c r="H134" s="11" t="s">
        <v>24</v>
      </c>
      <c r="I134" s="11" t="s">
        <v>24</v>
      </c>
      <c r="J134" s="12"/>
      <c r="K134" s="9" t="s">
        <v>522</v>
      </c>
      <c r="L134" s="9" t="s">
        <v>520</v>
      </c>
      <c r="M134" s="8"/>
    </row>
    <row r="135" customFormat="false" ht="15" hidden="false" customHeight="true" outlineLevel="0" collapsed="false">
      <c r="A135" s="8" t="n">
        <v>129</v>
      </c>
      <c r="B135" s="8" t="n">
        <v>23</v>
      </c>
      <c r="C135" s="9" t="s">
        <v>192</v>
      </c>
      <c r="D135" s="8" t="s">
        <v>523</v>
      </c>
      <c r="E135" s="13" t="s">
        <v>524</v>
      </c>
      <c r="F135" s="10" t="s">
        <v>23</v>
      </c>
      <c r="G135" s="10" t="s">
        <v>23</v>
      </c>
      <c r="H135" s="11" t="s">
        <v>24</v>
      </c>
      <c r="I135" s="11" t="s">
        <v>24</v>
      </c>
      <c r="J135" s="12"/>
      <c r="K135" s="9" t="s">
        <v>522</v>
      </c>
      <c r="L135" s="9" t="s">
        <v>520</v>
      </c>
      <c r="M135" s="8"/>
    </row>
    <row r="136" customFormat="false" ht="15" hidden="false" customHeight="true" outlineLevel="0" collapsed="false">
      <c r="A136" s="8" t="n">
        <v>130</v>
      </c>
      <c r="B136" s="8" t="n">
        <v>23</v>
      </c>
      <c r="C136" s="9" t="s">
        <v>192</v>
      </c>
      <c r="D136" s="8" t="s">
        <v>525</v>
      </c>
      <c r="E136" s="13" t="s">
        <v>526</v>
      </c>
      <c r="F136" s="10" t="s">
        <v>23</v>
      </c>
      <c r="G136" s="10" t="s">
        <v>23</v>
      </c>
      <c r="H136" s="11" t="s">
        <v>24</v>
      </c>
      <c r="I136" s="11" t="s">
        <v>24</v>
      </c>
      <c r="J136" s="12"/>
      <c r="K136" s="9" t="s">
        <v>522</v>
      </c>
      <c r="L136" s="9" t="s">
        <v>520</v>
      </c>
      <c r="M136" s="8"/>
    </row>
    <row r="137" customFormat="false" ht="15" hidden="false" customHeight="true" outlineLevel="0" collapsed="false">
      <c r="A137" s="8" t="n">
        <v>131</v>
      </c>
      <c r="B137" s="8" t="n">
        <v>24</v>
      </c>
      <c r="C137" s="9" t="s">
        <v>198</v>
      </c>
      <c r="D137" s="8" t="s">
        <v>527</v>
      </c>
      <c r="E137" s="13" t="s">
        <v>239</v>
      </c>
      <c r="F137" s="10" t="s">
        <v>23</v>
      </c>
      <c r="G137" s="10"/>
      <c r="H137" s="11" t="s">
        <v>24</v>
      </c>
      <c r="I137" s="11" t="s">
        <v>24</v>
      </c>
      <c r="J137" s="12"/>
      <c r="K137" s="9" t="s">
        <v>528</v>
      </c>
      <c r="L137" s="9" t="s">
        <v>240</v>
      </c>
      <c r="M137" s="8"/>
    </row>
    <row r="138" customFormat="false" ht="15" hidden="false" customHeight="true" outlineLevel="0" collapsed="false">
      <c r="A138" s="8" t="n">
        <v>132</v>
      </c>
      <c r="B138" s="8" t="n">
        <v>24</v>
      </c>
      <c r="C138" s="9" t="s">
        <v>198</v>
      </c>
      <c r="D138" s="8" t="s">
        <v>529</v>
      </c>
      <c r="E138" s="13" t="s">
        <v>530</v>
      </c>
      <c r="F138" s="10" t="s">
        <v>23</v>
      </c>
      <c r="G138" s="10"/>
      <c r="H138" s="11" t="s">
        <v>24</v>
      </c>
      <c r="I138" s="11" t="s">
        <v>24</v>
      </c>
      <c r="J138" s="12"/>
      <c r="K138" s="9" t="s">
        <v>528</v>
      </c>
      <c r="L138" s="9" t="s">
        <v>240</v>
      </c>
      <c r="M138" s="8"/>
    </row>
    <row r="139" customFormat="false" ht="15" hidden="false" customHeight="true" outlineLevel="0" collapsed="false">
      <c r="A139" s="8" t="n">
        <v>133</v>
      </c>
      <c r="B139" s="8" t="n">
        <v>24</v>
      </c>
      <c r="C139" s="9" t="s">
        <v>198</v>
      </c>
      <c r="D139" s="8" t="s">
        <v>531</v>
      </c>
      <c r="E139" s="13" t="s">
        <v>532</v>
      </c>
      <c r="F139" s="10" t="s">
        <v>23</v>
      </c>
      <c r="G139" s="10"/>
      <c r="H139" s="11" t="s">
        <v>24</v>
      </c>
      <c r="I139" s="11" t="s">
        <v>24</v>
      </c>
      <c r="J139" s="12"/>
      <c r="K139" s="9" t="s">
        <v>528</v>
      </c>
      <c r="L139" s="9" t="s">
        <v>240</v>
      </c>
      <c r="M139" s="8"/>
    </row>
    <row r="140" customFormat="false" ht="15" hidden="false" customHeight="true" outlineLevel="0" collapsed="false">
      <c r="A140" s="8" t="n">
        <v>134</v>
      </c>
      <c r="B140" s="8" t="n">
        <v>24</v>
      </c>
      <c r="C140" s="9" t="s">
        <v>198</v>
      </c>
      <c r="D140" s="8" t="s">
        <v>533</v>
      </c>
      <c r="E140" s="13" t="s">
        <v>534</v>
      </c>
      <c r="F140" s="10" t="s">
        <v>23</v>
      </c>
      <c r="G140" s="10"/>
      <c r="H140" s="11" t="s">
        <v>24</v>
      </c>
      <c r="I140" s="11" t="s">
        <v>24</v>
      </c>
      <c r="J140" s="12"/>
      <c r="K140" s="9" t="s">
        <v>528</v>
      </c>
      <c r="L140" s="9" t="s">
        <v>240</v>
      </c>
      <c r="M140" s="8"/>
    </row>
    <row r="141" customFormat="false" ht="15" hidden="false" customHeight="true" outlineLevel="0" collapsed="false">
      <c r="A141" s="8" t="n">
        <v>135</v>
      </c>
      <c r="B141" s="8" t="n">
        <v>24</v>
      </c>
      <c r="C141" s="9" t="s">
        <v>198</v>
      </c>
      <c r="D141" s="8" t="s">
        <v>535</v>
      </c>
      <c r="E141" s="13" t="s">
        <v>536</v>
      </c>
      <c r="F141" s="10" t="s">
        <v>23</v>
      </c>
      <c r="G141" s="10"/>
      <c r="H141" s="11" t="s">
        <v>24</v>
      </c>
      <c r="I141" s="11" t="s">
        <v>24</v>
      </c>
      <c r="J141" s="12"/>
      <c r="K141" s="9" t="s">
        <v>528</v>
      </c>
      <c r="L141" s="9" t="s">
        <v>240</v>
      </c>
      <c r="M141" s="8"/>
    </row>
    <row r="142" customFormat="false" ht="15" hidden="false" customHeight="true" outlineLevel="0" collapsed="false">
      <c r="A142" s="8" t="n">
        <v>136</v>
      </c>
      <c r="B142" s="8" t="n">
        <v>25</v>
      </c>
      <c r="C142" s="9" t="s">
        <v>203</v>
      </c>
      <c r="D142" s="8" t="s">
        <v>537</v>
      </c>
      <c r="E142" s="13" t="s">
        <v>239</v>
      </c>
      <c r="F142" s="10" t="s">
        <v>23</v>
      </c>
      <c r="G142" s="10" t="s">
        <v>23</v>
      </c>
      <c r="H142" s="11" t="s">
        <v>24</v>
      </c>
      <c r="I142" s="11" t="s">
        <v>24</v>
      </c>
      <c r="J142" s="12"/>
      <c r="K142" s="9" t="s">
        <v>538</v>
      </c>
      <c r="L142" s="9" t="s">
        <v>539</v>
      </c>
      <c r="M142" s="8"/>
    </row>
    <row r="143" customFormat="false" ht="15" hidden="false" customHeight="true" outlineLevel="0" collapsed="false">
      <c r="A143" s="8" t="n">
        <v>137</v>
      </c>
      <c r="B143" s="8" t="n">
        <v>25</v>
      </c>
      <c r="C143" s="9" t="s">
        <v>203</v>
      </c>
      <c r="D143" s="8" t="s">
        <v>540</v>
      </c>
      <c r="E143" s="13" t="s">
        <v>435</v>
      </c>
      <c r="F143" s="10" t="s">
        <v>23</v>
      </c>
      <c r="G143" s="10" t="s">
        <v>23</v>
      </c>
      <c r="H143" s="11" t="s">
        <v>24</v>
      </c>
      <c r="I143" s="11" t="s">
        <v>24</v>
      </c>
      <c r="J143" s="12"/>
      <c r="K143" s="9" t="s">
        <v>541</v>
      </c>
      <c r="L143" s="9" t="s">
        <v>539</v>
      </c>
      <c r="M143" s="8"/>
    </row>
    <row r="144" customFormat="false" ht="15" hidden="false" customHeight="true" outlineLevel="0" collapsed="false">
      <c r="A144" s="8" t="n">
        <v>138</v>
      </c>
      <c r="B144" s="8" t="n">
        <v>25</v>
      </c>
      <c r="C144" s="9" t="s">
        <v>203</v>
      </c>
      <c r="D144" s="8" t="s">
        <v>542</v>
      </c>
      <c r="E144" s="13" t="s">
        <v>543</v>
      </c>
      <c r="F144" s="10" t="s">
        <v>23</v>
      </c>
      <c r="G144" s="10" t="s">
        <v>23</v>
      </c>
      <c r="H144" s="11" t="s">
        <v>24</v>
      </c>
      <c r="I144" s="11" t="s">
        <v>24</v>
      </c>
      <c r="J144" s="12"/>
      <c r="K144" s="9" t="s">
        <v>541</v>
      </c>
      <c r="L144" s="9" t="s">
        <v>539</v>
      </c>
      <c r="M144" s="8"/>
    </row>
    <row r="145" customFormat="false" ht="15" hidden="false" customHeight="true" outlineLevel="0" collapsed="false">
      <c r="A145" s="8" t="n">
        <v>139</v>
      </c>
      <c r="B145" s="8" t="n">
        <v>25</v>
      </c>
      <c r="C145" s="9" t="s">
        <v>203</v>
      </c>
      <c r="D145" s="8" t="s">
        <v>544</v>
      </c>
      <c r="E145" s="13" t="s">
        <v>545</v>
      </c>
      <c r="F145" s="10" t="s">
        <v>23</v>
      </c>
      <c r="G145" s="10" t="s">
        <v>23</v>
      </c>
      <c r="H145" s="11" t="s">
        <v>24</v>
      </c>
      <c r="I145" s="11" t="s">
        <v>24</v>
      </c>
      <c r="J145" s="12"/>
      <c r="K145" s="9" t="s">
        <v>541</v>
      </c>
      <c r="L145" s="9" t="s">
        <v>539</v>
      </c>
      <c r="M145" s="8"/>
    </row>
    <row r="146" customFormat="false" ht="15" hidden="false" customHeight="true" outlineLevel="0" collapsed="false">
      <c r="A146" s="8" t="n">
        <v>140</v>
      </c>
      <c r="B146" s="8" t="n">
        <v>25</v>
      </c>
      <c r="C146" s="9" t="s">
        <v>203</v>
      </c>
      <c r="D146" s="8" t="s">
        <v>546</v>
      </c>
      <c r="E146" s="13" t="s">
        <v>547</v>
      </c>
      <c r="F146" s="10" t="s">
        <v>23</v>
      </c>
      <c r="G146" s="10" t="s">
        <v>23</v>
      </c>
      <c r="H146" s="11" t="s">
        <v>24</v>
      </c>
      <c r="I146" s="11" t="s">
        <v>24</v>
      </c>
      <c r="J146" s="12"/>
      <c r="K146" s="9" t="s">
        <v>541</v>
      </c>
      <c r="L146" s="9" t="s">
        <v>539</v>
      </c>
      <c r="M146" s="8"/>
    </row>
    <row r="147" customFormat="false" ht="15" hidden="false" customHeight="true" outlineLevel="0" collapsed="false">
      <c r="A147" s="8" t="n">
        <v>141</v>
      </c>
      <c r="B147" s="8" t="n">
        <v>25</v>
      </c>
      <c r="C147" s="9" t="s">
        <v>203</v>
      </c>
      <c r="D147" s="8" t="s">
        <v>548</v>
      </c>
      <c r="E147" s="13" t="s">
        <v>549</v>
      </c>
      <c r="F147" s="10" t="s">
        <v>23</v>
      </c>
      <c r="G147" s="10" t="s">
        <v>23</v>
      </c>
      <c r="H147" s="11" t="s">
        <v>24</v>
      </c>
      <c r="I147" s="11" t="s">
        <v>24</v>
      </c>
      <c r="J147" s="12"/>
      <c r="K147" s="9" t="s">
        <v>541</v>
      </c>
      <c r="L147" s="9" t="s">
        <v>539</v>
      </c>
      <c r="M147" s="8"/>
    </row>
    <row r="148" customFormat="false" ht="15" hidden="false" customHeight="true" outlineLevel="0" collapsed="false">
      <c r="A148" s="8" t="n">
        <v>142</v>
      </c>
      <c r="B148" s="8" t="n">
        <v>26</v>
      </c>
      <c r="C148" s="9" t="s">
        <v>212</v>
      </c>
      <c r="D148" s="8" t="s">
        <v>550</v>
      </c>
      <c r="E148" s="13" t="s">
        <v>239</v>
      </c>
      <c r="F148" s="10" t="s">
        <v>23</v>
      </c>
      <c r="G148" s="10" t="s">
        <v>23</v>
      </c>
      <c r="H148" s="11" t="s">
        <v>24</v>
      </c>
      <c r="I148" s="11" t="s">
        <v>24</v>
      </c>
      <c r="J148" s="12"/>
      <c r="K148" s="9" t="s">
        <v>551</v>
      </c>
      <c r="L148" s="9" t="s">
        <v>552</v>
      </c>
      <c r="M148" s="8"/>
    </row>
    <row r="149" customFormat="false" ht="15" hidden="false" customHeight="true" outlineLevel="0" collapsed="false">
      <c r="A149" s="8" t="n">
        <v>143</v>
      </c>
      <c r="B149" s="8" t="n">
        <v>26</v>
      </c>
      <c r="C149" s="9" t="s">
        <v>212</v>
      </c>
      <c r="D149" s="8" t="s">
        <v>553</v>
      </c>
      <c r="E149" s="13" t="s">
        <v>554</v>
      </c>
      <c r="F149" s="10" t="s">
        <v>23</v>
      </c>
      <c r="G149" s="10" t="s">
        <v>23</v>
      </c>
      <c r="H149" s="11" t="s">
        <v>24</v>
      </c>
      <c r="I149" s="11" t="s">
        <v>24</v>
      </c>
      <c r="J149" s="12"/>
      <c r="K149" s="9" t="s">
        <v>555</v>
      </c>
      <c r="L149" s="9" t="s">
        <v>552</v>
      </c>
      <c r="M149" s="8"/>
    </row>
    <row r="150" customFormat="false" ht="15" hidden="false" customHeight="true" outlineLevel="0" collapsed="false">
      <c r="A150" s="8" t="n">
        <v>144</v>
      </c>
      <c r="B150" s="8" t="n">
        <v>26</v>
      </c>
      <c r="C150" s="9" t="s">
        <v>212</v>
      </c>
      <c r="D150" s="8" t="s">
        <v>556</v>
      </c>
      <c r="E150" s="13" t="s">
        <v>557</v>
      </c>
      <c r="F150" s="10" t="s">
        <v>23</v>
      </c>
      <c r="G150" s="10" t="s">
        <v>23</v>
      </c>
      <c r="H150" s="11" t="s">
        <v>24</v>
      </c>
      <c r="I150" s="11" t="s">
        <v>24</v>
      </c>
      <c r="J150" s="12"/>
      <c r="K150" s="9" t="s">
        <v>555</v>
      </c>
      <c r="L150" s="9" t="s">
        <v>552</v>
      </c>
      <c r="M150" s="8"/>
    </row>
    <row r="151" customFormat="false" ht="15" hidden="false" customHeight="true" outlineLevel="0" collapsed="false">
      <c r="A151" s="8" t="n">
        <v>145</v>
      </c>
      <c r="B151" s="8" t="n">
        <v>26</v>
      </c>
      <c r="C151" s="9" t="s">
        <v>212</v>
      </c>
      <c r="D151" s="8" t="s">
        <v>558</v>
      </c>
      <c r="E151" s="13" t="s">
        <v>559</v>
      </c>
      <c r="F151" s="10" t="s">
        <v>23</v>
      </c>
      <c r="G151" s="10" t="s">
        <v>23</v>
      </c>
      <c r="H151" s="11" t="s">
        <v>24</v>
      </c>
      <c r="I151" s="11" t="s">
        <v>24</v>
      </c>
      <c r="J151" s="12"/>
      <c r="K151" s="9" t="s">
        <v>555</v>
      </c>
      <c r="L151" s="9" t="s">
        <v>552</v>
      </c>
      <c r="M151" s="8"/>
    </row>
    <row r="152" customFormat="false" ht="15" hidden="false" customHeight="true" outlineLevel="0" collapsed="false">
      <c r="A152" s="8" t="n">
        <v>146</v>
      </c>
      <c r="B152" s="8" t="n">
        <v>26</v>
      </c>
      <c r="C152" s="9" t="s">
        <v>212</v>
      </c>
      <c r="D152" s="8" t="s">
        <v>560</v>
      </c>
      <c r="E152" s="13" t="s">
        <v>561</v>
      </c>
      <c r="F152" s="10" t="s">
        <v>23</v>
      </c>
      <c r="G152" s="10" t="s">
        <v>23</v>
      </c>
      <c r="H152" s="11" t="s">
        <v>24</v>
      </c>
      <c r="I152" s="11" t="s">
        <v>24</v>
      </c>
      <c r="J152" s="12"/>
      <c r="K152" s="9" t="s">
        <v>555</v>
      </c>
      <c r="L152" s="9" t="s">
        <v>552</v>
      </c>
      <c r="M152" s="8"/>
    </row>
    <row r="153" customFormat="false" ht="15" hidden="false" customHeight="true" outlineLevel="0" collapsed="false">
      <c r="A153" s="8" t="n">
        <v>147</v>
      </c>
      <c r="B153" s="8" t="n">
        <v>26</v>
      </c>
      <c r="C153" s="9" t="s">
        <v>212</v>
      </c>
      <c r="D153" s="8" t="s">
        <v>562</v>
      </c>
      <c r="E153" s="13" t="s">
        <v>563</v>
      </c>
      <c r="F153" s="10" t="s">
        <v>23</v>
      </c>
      <c r="G153" s="10" t="s">
        <v>23</v>
      </c>
      <c r="H153" s="11" t="s">
        <v>24</v>
      </c>
      <c r="I153" s="11" t="s">
        <v>24</v>
      </c>
      <c r="J153" s="12"/>
      <c r="K153" s="9" t="s">
        <v>555</v>
      </c>
      <c r="L153" s="9" t="s">
        <v>552</v>
      </c>
      <c r="M153" s="8"/>
    </row>
    <row r="154" customFormat="false" ht="15" hidden="false" customHeight="true" outlineLevel="0" collapsed="false">
      <c r="A154" s="8" t="n">
        <v>148</v>
      </c>
      <c r="B154" s="8" t="n">
        <v>26</v>
      </c>
      <c r="C154" s="9" t="s">
        <v>212</v>
      </c>
      <c r="D154" s="8" t="s">
        <v>564</v>
      </c>
      <c r="E154" s="13" t="s">
        <v>565</v>
      </c>
      <c r="F154" s="10" t="s">
        <v>23</v>
      </c>
      <c r="G154" s="10" t="s">
        <v>23</v>
      </c>
      <c r="H154" s="11" t="s">
        <v>24</v>
      </c>
      <c r="I154" s="11" t="s">
        <v>24</v>
      </c>
      <c r="J154" s="12"/>
      <c r="K154" s="9" t="s">
        <v>555</v>
      </c>
      <c r="L154" s="9" t="s">
        <v>552</v>
      </c>
      <c r="M154" s="8"/>
    </row>
    <row r="155" customFormat="false" ht="15" hidden="false" customHeight="true" outlineLevel="0" collapsed="false">
      <c r="A155" s="8" t="n">
        <v>149</v>
      </c>
      <c r="B155" s="8" t="n">
        <v>26</v>
      </c>
      <c r="C155" s="9" t="s">
        <v>212</v>
      </c>
      <c r="D155" s="8" t="s">
        <v>566</v>
      </c>
      <c r="E155" s="13" t="s">
        <v>567</v>
      </c>
      <c r="F155" s="10" t="s">
        <v>23</v>
      </c>
      <c r="G155" s="10" t="s">
        <v>23</v>
      </c>
      <c r="H155" s="11" t="s">
        <v>24</v>
      </c>
      <c r="I155" s="11" t="s">
        <v>24</v>
      </c>
      <c r="J155" s="12"/>
      <c r="K155" s="9" t="s">
        <v>555</v>
      </c>
      <c r="L155" s="9" t="s">
        <v>552</v>
      </c>
      <c r="M155" s="8"/>
    </row>
    <row r="156" customFormat="false" ht="15" hidden="false" customHeight="true" outlineLevel="0" collapsed="false">
      <c r="A156" s="8" t="n">
        <v>150</v>
      </c>
      <c r="B156" s="8" t="n">
        <v>27</v>
      </c>
      <c r="C156" s="9" t="s">
        <v>224</v>
      </c>
      <c r="D156" s="8" t="s">
        <v>568</v>
      </c>
      <c r="E156" s="13" t="s">
        <v>239</v>
      </c>
      <c r="F156" s="10" t="s">
        <v>23</v>
      </c>
      <c r="G156" s="10" t="s">
        <v>23</v>
      </c>
      <c r="H156" s="11" t="s">
        <v>24</v>
      </c>
      <c r="I156" s="11" t="s">
        <v>24</v>
      </c>
      <c r="J156" s="12"/>
      <c r="K156" s="9" t="s">
        <v>569</v>
      </c>
      <c r="L156" s="9" t="s">
        <v>240</v>
      </c>
      <c r="M156" s="8"/>
    </row>
    <row r="157" customFormat="false" ht="15" hidden="false" customHeight="true" outlineLevel="0" collapsed="false">
      <c r="A157" s="8" t="n">
        <v>151</v>
      </c>
      <c r="B157" s="8" t="n">
        <v>27</v>
      </c>
      <c r="C157" s="9" t="s">
        <v>224</v>
      </c>
      <c r="D157" s="8" t="s">
        <v>570</v>
      </c>
      <c r="E157" s="13" t="s">
        <v>571</v>
      </c>
      <c r="F157" s="10" t="s">
        <v>23</v>
      </c>
      <c r="G157" s="10" t="s">
        <v>23</v>
      </c>
      <c r="H157" s="11" t="s">
        <v>24</v>
      </c>
      <c r="I157" s="11" t="s">
        <v>24</v>
      </c>
      <c r="J157" s="12"/>
      <c r="K157" s="9" t="s">
        <v>569</v>
      </c>
      <c r="L157" s="9" t="s">
        <v>240</v>
      </c>
      <c r="M157" s="8"/>
    </row>
    <row r="158" customFormat="false" ht="15" hidden="false" customHeight="true" outlineLevel="0" collapsed="false">
      <c r="A158" s="8" t="n">
        <v>152</v>
      </c>
      <c r="B158" s="8" t="n">
        <v>27</v>
      </c>
      <c r="C158" s="9" t="s">
        <v>224</v>
      </c>
      <c r="D158" s="8" t="s">
        <v>572</v>
      </c>
      <c r="E158" s="13" t="s">
        <v>573</v>
      </c>
      <c r="F158" s="10" t="s">
        <v>23</v>
      </c>
      <c r="G158" s="10" t="s">
        <v>23</v>
      </c>
      <c r="H158" s="11" t="s">
        <v>24</v>
      </c>
      <c r="I158" s="11" t="s">
        <v>24</v>
      </c>
      <c r="J158" s="12"/>
      <c r="K158" s="9" t="s">
        <v>569</v>
      </c>
      <c r="L158" s="9" t="s">
        <v>240</v>
      </c>
      <c r="M158" s="8"/>
    </row>
    <row r="159" customFormat="false" ht="15" hidden="false" customHeight="true" outlineLevel="0" collapsed="false">
      <c r="A159" s="8" t="n">
        <v>153</v>
      </c>
      <c r="B159" s="8" t="n">
        <v>27</v>
      </c>
      <c r="C159" s="9" t="s">
        <v>224</v>
      </c>
      <c r="D159" s="8" t="s">
        <v>574</v>
      </c>
      <c r="E159" s="13" t="s">
        <v>575</v>
      </c>
      <c r="F159" s="10" t="s">
        <v>23</v>
      </c>
      <c r="G159" s="10" t="s">
        <v>23</v>
      </c>
      <c r="H159" s="11" t="s">
        <v>24</v>
      </c>
      <c r="I159" s="11" t="s">
        <v>24</v>
      </c>
      <c r="J159" s="12"/>
      <c r="K159" s="9" t="s">
        <v>569</v>
      </c>
      <c r="L159" s="9" t="s">
        <v>240</v>
      </c>
      <c r="M159" s="8"/>
    </row>
    <row r="160" customFormat="false" ht="15" hidden="false" customHeight="true" outlineLevel="0" collapsed="false">
      <c r="A160" s="8" t="n">
        <v>154</v>
      </c>
      <c r="B160" s="8" t="n">
        <v>27</v>
      </c>
      <c r="C160" s="9" t="s">
        <v>224</v>
      </c>
      <c r="D160" s="8" t="s">
        <v>576</v>
      </c>
      <c r="E160" s="13" t="s">
        <v>577</v>
      </c>
      <c r="F160" s="10" t="s">
        <v>23</v>
      </c>
      <c r="G160" s="10" t="s">
        <v>23</v>
      </c>
      <c r="H160" s="11" t="s">
        <v>24</v>
      </c>
      <c r="I160" s="11" t="s">
        <v>24</v>
      </c>
      <c r="J160" s="12"/>
      <c r="K160" s="9" t="s">
        <v>569</v>
      </c>
      <c r="L160" s="9" t="s">
        <v>240</v>
      </c>
      <c r="M160" s="8"/>
    </row>
    <row r="161" customFormat="false" ht="15" hidden="false" customHeight="true" outlineLevel="0" collapsed="false">
      <c r="A161" s="8" t="n">
        <v>155</v>
      </c>
      <c r="B161" s="8" t="n">
        <v>27</v>
      </c>
      <c r="C161" s="9" t="s">
        <v>224</v>
      </c>
      <c r="D161" s="8" t="s">
        <v>578</v>
      </c>
      <c r="E161" s="13" t="s">
        <v>579</v>
      </c>
      <c r="F161" s="10" t="s">
        <v>23</v>
      </c>
      <c r="G161" s="10" t="s">
        <v>23</v>
      </c>
      <c r="H161" s="11" t="s">
        <v>24</v>
      </c>
      <c r="I161" s="11" t="s">
        <v>24</v>
      </c>
      <c r="J161" s="12"/>
      <c r="K161" s="9" t="s">
        <v>569</v>
      </c>
      <c r="L161" s="9" t="s">
        <v>240</v>
      </c>
      <c r="M161" s="8"/>
    </row>
    <row r="162" customFormat="false" ht="15" hidden="false" customHeight="true" outlineLevel="0" collapsed="false">
      <c r="A162" s="8" t="n">
        <v>156</v>
      </c>
      <c r="B162" s="8" t="n">
        <v>27</v>
      </c>
      <c r="C162" s="9" t="s">
        <v>224</v>
      </c>
      <c r="D162" s="8" t="s">
        <v>580</v>
      </c>
      <c r="E162" s="13" t="s">
        <v>581</v>
      </c>
      <c r="F162" s="10" t="s">
        <v>23</v>
      </c>
      <c r="G162" s="10" t="s">
        <v>23</v>
      </c>
      <c r="H162" s="11" t="s">
        <v>24</v>
      </c>
      <c r="I162" s="11" t="s">
        <v>24</v>
      </c>
      <c r="J162" s="12"/>
      <c r="K162" s="9" t="s">
        <v>569</v>
      </c>
      <c r="L162" s="9" t="s">
        <v>240</v>
      </c>
      <c r="M162" s="8"/>
    </row>
    <row r="163" customFormat="false" ht="15" hidden="false" customHeight="true" outlineLevel="0" collapsed="false">
      <c r="A163" s="8" t="n">
        <v>157</v>
      </c>
      <c r="B163" s="8" t="n">
        <v>28</v>
      </c>
      <c r="C163" s="9" t="s">
        <v>227</v>
      </c>
      <c r="D163" s="8" t="s">
        <v>582</v>
      </c>
      <c r="E163" s="13" t="s">
        <v>239</v>
      </c>
      <c r="F163" s="10" t="s">
        <v>23</v>
      </c>
      <c r="G163" s="10" t="s">
        <v>23</v>
      </c>
      <c r="H163" s="11" t="s">
        <v>24</v>
      </c>
      <c r="I163" s="11" t="s">
        <v>24</v>
      </c>
      <c r="J163" s="12"/>
      <c r="K163" s="9" t="s">
        <v>583</v>
      </c>
      <c r="L163" s="9" t="s">
        <v>240</v>
      </c>
      <c r="M163" s="8"/>
    </row>
    <row r="164" customFormat="false" ht="15" hidden="false" customHeight="true" outlineLevel="0" collapsed="false">
      <c r="A164" s="8" t="n">
        <v>158</v>
      </c>
      <c r="B164" s="8" t="n">
        <v>28</v>
      </c>
      <c r="C164" s="9" t="s">
        <v>227</v>
      </c>
      <c r="D164" s="8" t="s">
        <v>584</v>
      </c>
      <c r="E164" s="13" t="s">
        <v>585</v>
      </c>
      <c r="F164" s="10" t="s">
        <v>23</v>
      </c>
      <c r="G164" s="10" t="s">
        <v>23</v>
      </c>
      <c r="H164" s="11" t="s">
        <v>24</v>
      </c>
      <c r="I164" s="11" t="s">
        <v>24</v>
      </c>
      <c r="J164" s="12"/>
      <c r="K164" s="9" t="s">
        <v>583</v>
      </c>
      <c r="L164" s="9" t="s">
        <v>240</v>
      </c>
      <c r="M164" s="8"/>
    </row>
    <row r="165" customFormat="false" ht="15" hidden="false" customHeight="true" outlineLevel="0" collapsed="false">
      <c r="A165" s="8" t="n">
        <v>159</v>
      </c>
      <c r="B165" s="8" t="n">
        <v>28</v>
      </c>
      <c r="C165" s="9" t="s">
        <v>227</v>
      </c>
      <c r="D165" s="8" t="s">
        <v>586</v>
      </c>
      <c r="E165" s="13" t="s">
        <v>587</v>
      </c>
      <c r="F165" s="10" t="s">
        <v>23</v>
      </c>
      <c r="G165" s="10" t="s">
        <v>23</v>
      </c>
      <c r="H165" s="11" t="s">
        <v>24</v>
      </c>
      <c r="I165" s="11" t="s">
        <v>24</v>
      </c>
      <c r="J165" s="12"/>
      <c r="K165" s="9" t="s">
        <v>583</v>
      </c>
      <c r="L165" s="9" t="s">
        <v>240</v>
      </c>
      <c r="M165" s="8"/>
    </row>
    <row r="166" customFormat="false" ht="15" hidden="false" customHeight="true" outlineLevel="0" collapsed="false">
      <c r="A166" s="8" t="n">
        <v>160</v>
      </c>
      <c r="B166" s="8" t="n">
        <v>28</v>
      </c>
      <c r="C166" s="9" t="s">
        <v>227</v>
      </c>
      <c r="D166" s="8" t="s">
        <v>588</v>
      </c>
      <c r="E166" s="13" t="s">
        <v>589</v>
      </c>
      <c r="F166" s="10" t="s">
        <v>23</v>
      </c>
      <c r="G166" s="10" t="s">
        <v>23</v>
      </c>
      <c r="H166" s="11" t="s">
        <v>24</v>
      </c>
      <c r="I166" s="11" t="s">
        <v>24</v>
      </c>
      <c r="J166" s="12"/>
      <c r="K166" s="9" t="s">
        <v>583</v>
      </c>
      <c r="L166" s="9" t="s">
        <v>240</v>
      </c>
      <c r="M166" s="8"/>
    </row>
    <row r="167" customFormat="false" ht="15" hidden="false" customHeight="true" outlineLevel="0" collapsed="false">
      <c r="A167" s="8" t="n">
        <v>161</v>
      </c>
      <c r="B167" s="8" t="n">
        <v>28</v>
      </c>
      <c r="C167" s="9" t="s">
        <v>227</v>
      </c>
      <c r="D167" s="8" t="s">
        <v>590</v>
      </c>
      <c r="E167" s="13" t="s">
        <v>591</v>
      </c>
      <c r="F167" s="10" t="s">
        <v>23</v>
      </c>
      <c r="G167" s="10" t="s">
        <v>23</v>
      </c>
      <c r="H167" s="11" t="s">
        <v>24</v>
      </c>
      <c r="I167" s="11" t="s">
        <v>24</v>
      </c>
      <c r="J167" s="12"/>
      <c r="K167" s="9" t="s">
        <v>583</v>
      </c>
      <c r="L167" s="9" t="s">
        <v>240</v>
      </c>
      <c r="M167" s="8"/>
    </row>
    <row r="168" customFormat="false" ht="15" hidden="false" customHeight="true" outlineLevel="0" collapsed="false">
      <c r="A168" s="8" t="n">
        <v>162</v>
      </c>
      <c r="B168" s="8" t="n">
        <v>28</v>
      </c>
      <c r="C168" s="9" t="s">
        <v>227</v>
      </c>
      <c r="D168" s="8" t="s">
        <v>592</v>
      </c>
      <c r="E168" s="13" t="s">
        <v>593</v>
      </c>
      <c r="F168" s="10" t="s">
        <v>23</v>
      </c>
      <c r="G168" s="10" t="s">
        <v>23</v>
      </c>
      <c r="H168" s="11" t="s">
        <v>24</v>
      </c>
      <c r="I168" s="11" t="s">
        <v>24</v>
      </c>
      <c r="J168" s="12"/>
      <c r="K168" s="9" t="s">
        <v>583</v>
      </c>
      <c r="L168" s="9" t="s">
        <v>240</v>
      </c>
      <c r="M168" s="8"/>
    </row>
    <row r="169" customFormat="false" ht="15" hidden="false" customHeight="true" outlineLevel="0" collapsed="false">
      <c r="A169" s="8" t="n">
        <v>163</v>
      </c>
      <c r="B169" s="8" t="n">
        <v>28</v>
      </c>
      <c r="C169" s="9" t="s">
        <v>227</v>
      </c>
      <c r="D169" s="8" t="s">
        <v>594</v>
      </c>
      <c r="E169" s="13" t="s">
        <v>595</v>
      </c>
      <c r="F169" s="10" t="s">
        <v>23</v>
      </c>
      <c r="G169" s="10" t="s">
        <v>23</v>
      </c>
      <c r="H169" s="11" t="s">
        <v>24</v>
      </c>
      <c r="I169" s="11" t="s">
        <v>24</v>
      </c>
      <c r="J169" s="12"/>
      <c r="K169" s="9" t="s">
        <v>583</v>
      </c>
      <c r="L169" s="9" t="s">
        <v>240</v>
      </c>
      <c r="M169" s="8"/>
    </row>
  </sheetData>
  <mergeCells count="3">
    <mergeCell ref="A2:M2"/>
    <mergeCell ref="A3:M3"/>
    <mergeCell ref="A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26"/>
    <col collapsed="false" customWidth="true" hidden="false" outlineLevel="0" max="4" min="4" style="1" width="8"/>
    <col collapsed="false" customWidth="true" hidden="false" outlineLevel="0" max="5" min="5" style="1" width="7"/>
    <col collapsed="false" customWidth="true" hidden="false" outlineLevel="0" max="7" min="6" style="1" width="8"/>
    <col collapsed="false" customWidth="true" hidden="false" outlineLevel="0" max="8" min="8" style="1" width="9"/>
    <col collapsed="false" customWidth="true" hidden="false" outlineLevel="0" max="9" min="9" style="1" width="28"/>
  </cols>
  <sheetData>
    <row r="1" customFormat="false" ht="6" hidden="false" customHeight="true" outlineLevel="0" collapsed="false"/>
    <row r="2" customFormat="false" ht="25.5" hidden="false" customHeight="true" outlineLevel="0" collapsed="false">
      <c r="A2" s="2" t="s">
        <v>596</v>
      </c>
      <c r="B2" s="2"/>
      <c r="C2" s="2"/>
      <c r="D2" s="2"/>
      <c r="E2" s="2"/>
      <c r="F2" s="2"/>
      <c r="G2" s="2"/>
      <c r="H2" s="2"/>
      <c r="I2" s="2"/>
    </row>
    <row r="3" customFormat="false" ht="18" hidden="false" customHeight="true" outlineLevel="0" collapsed="false">
      <c r="A3" s="3" t="s">
        <v>1</v>
      </c>
      <c r="B3" s="3"/>
      <c r="C3" s="3"/>
      <c r="D3" s="3"/>
      <c r="E3" s="3"/>
      <c r="F3" s="3"/>
      <c r="G3" s="3"/>
      <c r="H3" s="3"/>
      <c r="I3" s="3"/>
    </row>
    <row r="4" customFormat="false" ht="15" hidden="false" customHeight="true" outlineLevel="0" collapsed="false">
      <c r="A4" s="4" t="s">
        <v>2</v>
      </c>
      <c r="B4" s="4"/>
      <c r="C4" s="4"/>
      <c r="D4" s="4"/>
      <c r="E4" s="4"/>
      <c r="F4" s="4"/>
      <c r="G4" s="4"/>
      <c r="H4" s="4"/>
      <c r="I4" s="4"/>
    </row>
    <row r="5" customFormat="false" ht="3.75" hidden="false" customHeight="true" outlineLevel="0" collapsed="false"/>
    <row r="6" customFormat="false" ht="31.5" hidden="false" customHeight="true" outlineLevel="0" collapsed="false">
      <c r="A6" s="5" t="s">
        <v>3</v>
      </c>
      <c r="B6" s="6" t="s">
        <v>5</v>
      </c>
      <c r="C6" s="6" t="s">
        <v>597</v>
      </c>
      <c r="D6" s="6" t="s">
        <v>598</v>
      </c>
      <c r="E6" s="5" t="s">
        <v>599</v>
      </c>
      <c r="F6" s="6" t="s">
        <v>600</v>
      </c>
      <c r="G6" s="6" t="s">
        <v>601</v>
      </c>
      <c r="H6" s="6" t="s">
        <v>602</v>
      </c>
      <c r="I6" s="6" t="s">
        <v>18</v>
      </c>
    </row>
    <row r="7" customFormat="false" ht="15" hidden="false" customHeight="true" outlineLevel="0" collapsed="false">
      <c r="A7" s="10" t="n">
        <v>1</v>
      </c>
      <c r="B7" s="9" t="s">
        <v>19</v>
      </c>
      <c r="C7" s="9" t="s">
        <v>603</v>
      </c>
      <c r="D7" s="15" t="n">
        <f aca="false">COUNTIF(提出物チェックリスト!$B$7:$B$88,$A7)</f>
        <v>5</v>
      </c>
      <c r="E7" s="15" t="n">
        <f aca="false">COUNTIF(チェックポイント確認!$B$7:$B$169,$A7)</f>
        <v>7</v>
      </c>
      <c r="F7" s="10" t="s">
        <v>23</v>
      </c>
      <c r="G7" s="10"/>
      <c r="H7" s="10" t="n">
        <v>0</v>
      </c>
      <c r="I7" s="8"/>
    </row>
    <row r="8" customFormat="false" ht="15" hidden="false" customHeight="true" outlineLevel="0" collapsed="false">
      <c r="A8" s="10" t="n">
        <v>2</v>
      </c>
      <c r="B8" s="9" t="s">
        <v>39</v>
      </c>
      <c r="C8" s="9" t="s">
        <v>604</v>
      </c>
      <c r="D8" s="15" t="n">
        <f aca="false">COUNTIF(提出物チェックリスト!$B$7:$B$88,$A8)</f>
        <v>2</v>
      </c>
      <c r="E8" s="15" t="n">
        <f aca="false">COUNTIF(チェックポイント確認!$B$7:$B$169,$A8)</f>
        <v>6</v>
      </c>
      <c r="F8" s="10" t="s">
        <v>23</v>
      </c>
      <c r="G8" s="10"/>
      <c r="H8" s="10" t="n">
        <v>0</v>
      </c>
      <c r="I8" s="8"/>
    </row>
    <row r="9" customFormat="false" ht="15" hidden="false" customHeight="true" outlineLevel="0" collapsed="false">
      <c r="A9" s="10" t="n">
        <v>3</v>
      </c>
      <c r="B9" s="9" t="s">
        <v>45</v>
      </c>
      <c r="C9" s="9" t="s">
        <v>605</v>
      </c>
      <c r="D9" s="15" t="n">
        <f aca="false">COUNTIF(提出物チェックリスト!$B$7:$B$88,$A9)</f>
        <v>6</v>
      </c>
      <c r="E9" s="15" t="n">
        <f aca="false">COUNTIF(チェックポイント確認!$B$7:$B$169,$A9)</f>
        <v>8</v>
      </c>
      <c r="F9" s="10" t="s">
        <v>23</v>
      </c>
      <c r="G9" s="10"/>
      <c r="H9" s="10" t="n">
        <v>0</v>
      </c>
      <c r="I9" s="8"/>
    </row>
    <row r="10" customFormat="false" ht="15" hidden="false" customHeight="true" outlineLevel="0" collapsed="false">
      <c r="A10" s="10" t="n">
        <v>4</v>
      </c>
      <c r="B10" s="9" t="s">
        <v>61</v>
      </c>
      <c r="C10" s="9" t="s">
        <v>606</v>
      </c>
      <c r="D10" s="15" t="n">
        <f aca="false">COUNTIF(提出物チェックリスト!$B$7:$B$88,$A10)</f>
        <v>4</v>
      </c>
      <c r="E10" s="15" t="n">
        <f aca="false">COUNTIF(チェックポイント確認!$B$7:$B$169,$A10)</f>
        <v>7</v>
      </c>
      <c r="F10" s="10" t="s">
        <v>23</v>
      </c>
      <c r="G10" s="10" t="s">
        <v>23</v>
      </c>
      <c r="H10" s="10" t="n">
        <v>199</v>
      </c>
      <c r="I10" s="8"/>
    </row>
    <row r="11" customFormat="false" ht="15" hidden="false" customHeight="true" outlineLevel="0" collapsed="false">
      <c r="A11" s="10" t="n">
        <v>5</v>
      </c>
      <c r="B11" s="9" t="s">
        <v>72</v>
      </c>
      <c r="C11" s="9" t="s">
        <v>607</v>
      </c>
      <c r="D11" s="15" t="n">
        <f aca="false">COUNTIF(提出物チェックリスト!$B$7:$B$88,$A11)</f>
        <v>4</v>
      </c>
      <c r="E11" s="15" t="n">
        <f aca="false">COUNTIF(チェックポイント確認!$B$7:$B$169,$A11)</f>
        <v>5</v>
      </c>
      <c r="F11" s="10" t="s">
        <v>23</v>
      </c>
      <c r="G11" s="10" t="s">
        <v>23</v>
      </c>
      <c r="H11" s="10" t="n">
        <v>350</v>
      </c>
      <c r="I11" s="8"/>
    </row>
    <row r="12" customFormat="false" ht="15" hidden="false" customHeight="true" outlineLevel="0" collapsed="false">
      <c r="A12" s="10" t="n">
        <v>6</v>
      </c>
      <c r="B12" s="9" t="s">
        <v>81</v>
      </c>
      <c r="C12" s="9" t="s">
        <v>607</v>
      </c>
      <c r="D12" s="15" t="n">
        <f aca="false">COUNTIF(提出物チェックリスト!$B$7:$B$88,$A12)</f>
        <v>3</v>
      </c>
      <c r="E12" s="15" t="n">
        <f aca="false">COUNTIF(チェックポイント確認!$B$7:$B$169,$A12)</f>
        <v>8</v>
      </c>
      <c r="F12" s="10" t="s">
        <v>23</v>
      </c>
      <c r="G12" s="10" t="s">
        <v>23</v>
      </c>
      <c r="H12" s="10" t="n">
        <v>199</v>
      </c>
      <c r="I12" s="8"/>
    </row>
    <row r="13" customFormat="false" ht="15" hidden="false" customHeight="true" outlineLevel="0" collapsed="false">
      <c r="A13" s="10" t="n">
        <v>7</v>
      </c>
      <c r="B13" s="9" t="s">
        <v>88</v>
      </c>
      <c r="C13" s="9" t="s">
        <v>607</v>
      </c>
      <c r="D13" s="15" t="n">
        <f aca="false">COUNTIF(提出物チェックリスト!$B$7:$B$88,$A13)</f>
        <v>3</v>
      </c>
      <c r="E13" s="15" t="n">
        <f aca="false">COUNTIF(チェックポイント確認!$B$7:$B$169,$A13)</f>
        <v>7</v>
      </c>
      <c r="F13" s="10" t="s">
        <v>23</v>
      </c>
      <c r="G13" s="10" t="s">
        <v>23</v>
      </c>
      <c r="H13" s="10" t="n">
        <v>0</v>
      </c>
      <c r="I13" s="8"/>
    </row>
    <row r="14" customFormat="false" ht="15" hidden="false" customHeight="true" outlineLevel="0" collapsed="false">
      <c r="A14" s="10" t="n">
        <v>8</v>
      </c>
      <c r="B14" s="9" t="s">
        <v>97</v>
      </c>
      <c r="C14" s="9" t="s">
        <v>607</v>
      </c>
      <c r="D14" s="15" t="n">
        <f aca="false">COUNTIF(提出物チェックリスト!$B$7:$B$88,$A14)</f>
        <v>3</v>
      </c>
      <c r="E14" s="15" t="n">
        <f aca="false">COUNTIF(チェックポイント確認!$B$7:$B$169,$A14)</f>
        <v>8</v>
      </c>
      <c r="F14" s="10" t="s">
        <v>23</v>
      </c>
      <c r="G14" s="10" t="s">
        <v>23</v>
      </c>
      <c r="H14" s="10" t="n">
        <v>285</v>
      </c>
      <c r="I14" s="8"/>
    </row>
    <row r="15" customFormat="false" ht="15" hidden="false" customHeight="true" outlineLevel="0" collapsed="false">
      <c r="A15" s="10" t="n">
        <v>9</v>
      </c>
      <c r="B15" s="9" t="s">
        <v>104</v>
      </c>
      <c r="C15" s="9" t="s">
        <v>608</v>
      </c>
      <c r="D15" s="15" t="n">
        <f aca="false">COUNTIF(提出物チェックリスト!$B$7:$B$88,$A15)</f>
        <v>3</v>
      </c>
      <c r="E15" s="15" t="n">
        <f aca="false">COUNTIF(チェックポイント確認!$B$7:$B$169,$A15)</f>
        <v>6</v>
      </c>
      <c r="F15" s="10" t="s">
        <v>23</v>
      </c>
      <c r="G15" s="10" t="s">
        <v>23</v>
      </c>
      <c r="H15" s="10" t="n">
        <v>22</v>
      </c>
      <c r="I15" s="8"/>
    </row>
    <row r="16" customFormat="false" ht="15" hidden="false" customHeight="true" outlineLevel="0" collapsed="false">
      <c r="A16" s="10" t="n">
        <v>10</v>
      </c>
      <c r="B16" s="9" t="s">
        <v>112</v>
      </c>
      <c r="C16" s="9" t="s">
        <v>608</v>
      </c>
      <c r="D16" s="15" t="n">
        <f aca="false">COUNTIF(提出物チェックリスト!$B$7:$B$88,$A16)</f>
        <v>2</v>
      </c>
      <c r="E16" s="15" t="n">
        <f aca="false">COUNTIF(チェックポイント確認!$B$7:$B$169,$A16)</f>
        <v>5</v>
      </c>
      <c r="F16" s="10" t="s">
        <v>23</v>
      </c>
      <c r="G16" s="10" t="s">
        <v>23</v>
      </c>
      <c r="H16" s="10" t="n">
        <v>19</v>
      </c>
      <c r="I16" s="8"/>
    </row>
    <row r="17" customFormat="false" ht="15" hidden="false" customHeight="true" outlineLevel="0" collapsed="false">
      <c r="A17" s="10" t="n">
        <v>11</v>
      </c>
      <c r="B17" s="9" t="s">
        <v>117</v>
      </c>
      <c r="C17" s="9" t="s">
        <v>609</v>
      </c>
      <c r="D17" s="15" t="n">
        <f aca="false">COUNTIF(提出物チェックリスト!$B$7:$B$88,$A17)</f>
        <v>3</v>
      </c>
      <c r="E17" s="15" t="n">
        <f aca="false">COUNTIF(チェックポイント確認!$B$7:$B$169,$A17)</f>
        <v>5</v>
      </c>
      <c r="F17" s="10" t="s">
        <v>23</v>
      </c>
      <c r="G17" s="10" t="s">
        <v>23</v>
      </c>
      <c r="H17" s="10" t="n">
        <v>17</v>
      </c>
      <c r="I17" s="8"/>
    </row>
    <row r="18" customFormat="false" ht="15" hidden="false" customHeight="true" outlineLevel="0" collapsed="false">
      <c r="A18" s="10" t="n">
        <v>12</v>
      </c>
      <c r="B18" s="9" t="s">
        <v>124</v>
      </c>
      <c r="C18" s="9" t="s">
        <v>608</v>
      </c>
      <c r="D18" s="15" t="n">
        <f aca="false">COUNTIF(提出物チェックリスト!$B$7:$B$88,$A18)</f>
        <v>3</v>
      </c>
      <c r="E18" s="15" t="n">
        <f aca="false">COUNTIF(チェックポイント確認!$B$7:$B$169,$A18)</f>
        <v>7</v>
      </c>
      <c r="F18" s="10" t="s">
        <v>23</v>
      </c>
      <c r="G18" s="10" t="s">
        <v>23</v>
      </c>
      <c r="H18" s="10" t="n">
        <v>22</v>
      </c>
      <c r="I18" s="8"/>
    </row>
    <row r="19" customFormat="false" ht="15" hidden="false" customHeight="true" outlineLevel="0" collapsed="false">
      <c r="A19" s="10" t="n">
        <v>13</v>
      </c>
      <c r="B19" s="9" t="s">
        <v>131</v>
      </c>
      <c r="C19" s="9" t="s">
        <v>609</v>
      </c>
      <c r="D19" s="15" t="n">
        <f aca="false">COUNTIF(提出物チェックリスト!$B$7:$B$88,$A19)</f>
        <v>3</v>
      </c>
      <c r="E19" s="15" t="n">
        <f aca="false">COUNTIF(チェックポイント確認!$B$7:$B$169,$A19)</f>
        <v>4</v>
      </c>
      <c r="F19" s="10" t="s">
        <v>23</v>
      </c>
      <c r="G19" s="10" t="s">
        <v>23</v>
      </c>
      <c r="H19" s="10" t="n">
        <v>14</v>
      </c>
      <c r="I19" s="8"/>
    </row>
    <row r="20" customFormat="false" ht="15" hidden="false" customHeight="true" outlineLevel="0" collapsed="false">
      <c r="A20" s="10" t="n">
        <v>14</v>
      </c>
      <c r="B20" s="9" t="s">
        <v>137</v>
      </c>
      <c r="C20" s="9" t="s">
        <v>610</v>
      </c>
      <c r="D20" s="15" t="n">
        <f aca="false">COUNTIF(提出物チェックリスト!$B$7:$B$88,$A20)</f>
        <v>3</v>
      </c>
      <c r="E20" s="15" t="n">
        <f aca="false">COUNTIF(チェックポイント確認!$B$7:$B$169,$A20)</f>
        <v>5</v>
      </c>
      <c r="F20" s="10" t="s">
        <v>23</v>
      </c>
      <c r="G20" s="10" t="s">
        <v>23</v>
      </c>
      <c r="H20" s="10" t="n">
        <v>20</v>
      </c>
      <c r="I20" s="8"/>
    </row>
    <row r="21" customFormat="false" ht="15" hidden="false" customHeight="true" outlineLevel="0" collapsed="false">
      <c r="A21" s="10" t="n">
        <v>15</v>
      </c>
      <c r="B21" s="9" t="s">
        <v>145</v>
      </c>
      <c r="C21" s="9" t="s">
        <v>610</v>
      </c>
      <c r="D21" s="15" t="n">
        <f aca="false">COUNTIF(提出物チェックリスト!$B$7:$B$88,$A21)</f>
        <v>3</v>
      </c>
      <c r="E21" s="15" t="n">
        <f aca="false">COUNTIF(チェックポイント確認!$B$7:$B$169,$A21)</f>
        <v>7</v>
      </c>
      <c r="F21" s="10" t="s">
        <v>23</v>
      </c>
      <c r="G21" s="10" t="s">
        <v>23</v>
      </c>
      <c r="H21" s="10" t="n">
        <v>18</v>
      </c>
      <c r="I21" s="8"/>
    </row>
    <row r="22" customFormat="false" ht="15" hidden="false" customHeight="true" outlineLevel="0" collapsed="false">
      <c r="A22" s="10" t="n">
        <v>16</v>
      </c>
      <c r="B22" s="9" t="s">
        <v>152</v>
      </c>
      <c r="C22" s="9" t="s">
        <v>611</v>
      </c>
      <c r="D22" s="15" t="n">
        <f aca="false">COUNTIF(提出物チェックリスト!$B$7:$B$88,$A22)</f>
        <v>1</v>
      </c>
      <c r="E22" s="15" t="n">
        <f aca="false">COUNTIF(チェックポイント確認!$B$7:$B$169,$A22)</f>
        <v>4</v>
      </c>
      <c r="F22" s="10" t="s">
        <v>23</v>
      </c>
      <c r="G22" s="10" t="s">
        <v>23</v>
      </c>
      <c r="H22" s="10" t="n">
        <v>0</v>
      </c>
      <c r="I22" s="8"/>
    </row>
    <row r="23" customFormat="false" ht="15" hidden="false" customHeight="true" outlineLevel="0" collapsed="false">
      <c r="A23" s="10" t="n">
        <v>17</v>
      </c>
      <c r="B23" s="9" t="s">
        <v>156</v>
      </c>
      <c r="C23" s="9" t="s">
        <v>611</v>
      </c>
      <c r="D23" s="15" t="n">
        <f aca="false">COUNTIF(提出物チェックリスト!$B$7:$B$88,$A23)</f>
        <v>1</v>
      </c>
      <c r="E23" s="15" t="n">
        <f aca="false">COUNTIF(チェックポイント確認!$B$7:$B$169,$A23)</f>
        <v>4</v>
      </c>
      <c r="F23" s="10" t="s">
        <v>23</v>
      </c>
      <c r="G23" s="10" t="s">
        <v>23</v>
      </c>
      <c r="H23" s="10" t="n">
        <v>0</v>
      </c>
      <c r="I23" s="8"/>
    </row>
    <row r="24" customFormat="false" ht="15" hidden="false" customHeight="true" outlineLevel="0" collapsed="false">
      <c r="A24" s="10" t="n">
        <v>18</v>
      </c>
      <c r="B24" s="9" t="s">
        <v>159</v>
      </c>
      <c r="C24" s="9" t="s">
        <v>611</v>
      </c>
      <c r="D24" s="15" t="n">
        <f aca="false">COUNTIF(提出物チェックリスト!$B$7:$B$88,$A24)</f>
        <v>3</v>
      </c>
      <c r="E24" s="15" t="n">
        <f aca="false">COUNTIF(チェックポイント確認!$B$7:$B$169,$A24)</f>
        <v>8</v>
      </c>
      <c r="F24" s="10" t="s">
        <v>23</v>
      </c>
      <c r="G24" s="10" t="s">
        <v>23</v>
      </c>
      <c r="H24" s="10" t="n">
        <v>245</v>
      </c>
      <c r="I24" s="8"/>
    </row>
    <row r="25" customFormat="false" ht="15" hidden="false" customHeight="true" outlineLevel="0" collapsed="false">
      <c r="A25" s="10" t="n">
        <v>19</v>
      </c>
      <c r="B25" s="9" t="s">
        <v>165</v>
      </c>
      <c r="C25" s="9" t="s">
        <v>611</v>
      </c>
      <c r="D25" s="15" t="n">
        <f aca="false">COUNTIF(提出物チェックリスト!$B$7:$B$88,$A25)</f>
        <v>3</v>
      </c>
      <c r="E25" s="15" t="n">
        <f aca="false">COUNTIF(チェックポイント確認!$B$7:$B$169,$A25)</f>
        <v>5</v>
      </c>
      <c r="F25" s="10" t="s">
        <v>23</v>
      </c>
      <c r="G25" s="10" t="s">
        <v>23</v>
      </c>
      <c r="H25" s="10" t="n">
        <v>195</v>
      </c>
      <c r="I25" s="8"/>
    </row>
    <row r="26" customFormat="false" ht="15" hidden="false" customHeight="true" outlineLevel="0" collapsed="false">
      <c r="A26" s="10" t="n">
        <v>20</v>
      </c>
      <c r="B26" s="9" t="s">
        <v>171</v>
      </c>
      <c r="C26" s="9" t="s">
        <v>612</v>
      </c>
      <c r="D26" s="15" t="n">
        <f aca="false">COUNTIF(提出物チェックリスト!$B$7:$B$88,$A26)</f>
        <v>2</v>
      </c>
      <c r="E26" s="15" t="n">
        <f aca="false">COUNTIF(チェックポイント確認!$B$7:$B$169,$A26)</f>
        <v>3</v>
      </c>
      <c r="F26" s="10" t="s">
        <v>23</v>
      </c>
      <c r="G26" s="10" t="s">
        <v>23</v>
      </c>
      <c r="H26" s="10" t="n">
        <v>86</v>
      </c>
      <c r="I26" s="8"/>
    </row>
    <row r="27" customFormat="false" ht="15" hidden="false" customHeight="true" outlineLevel="0" collapsed="false">
      <c r="A27" s="10" t="n">
        <v>21</v>
      </c>
      <c r="B27" s="9" t="s">
        <v>177</v>
      </c>
      <c r="C27" s="9" t="s">
        <v>613</v>
      </c>
      <c r="D27" s="15" t="n">
        <f aca="false">COUNTIF(提出物チェックリスト!$B$7:$B$88,$A27)</f>
        <v>3</v>
      </c>
      <c r="E27" s="15" t="n">
        <f aca="false">COUNTIF(チェックポイント確認!$B$7:$B$169,$A27)</f>
        <v>3</v>
      </c>
      <c r="F27" s="10" t="s">
        <v>23</v>
      </c>
      <c r="G27" s="10" t="s">
        <v>23</v>
      </c>
      <c r="H27" s="10" t="n">
        <v>144</v>
      </c>
      <c r="I27" s="8"/>
    </row>
    <row r="28" customFormat="false" ht="15" hidden="false" customHeight="true" outlineLevel="0" collapsed="false">
      <c r="A28" s="10" t="n">
        <v>22</v>
      </c>
      <c r="B28" s="9" t="s">
        <v>184</v>
      </c>
      <c r="C28" s="9" t="s">
        <v>614</v>
      </c>
      <c r="D28" s="15" t="n">
        <f aca="false">COUNTIF(提出物チェックリスト!$B$7:$B$88,$A28)</f>
        <v>3</v>
      </c>
      <c r="E28" s="15" t="n">
        <f aca="false">COUNTIF(チェックポイント確認!$B$7:$B$169,$A28)</f>
        <v>4</v>
      </c>
      <c r="F28" s="10" t="s">
        <v>23</v>
      </c>
      <c r="G28" s="10" t="s">
        <v>23</v>
      </c>
      <c r="H28" s="10" t="n">
        <v>148</v>
      </c>
      <c r="I28" s="8"/>
    </row>
    <row r="29" customFormat="false" ht="15" hidden="false" customHeight="true" outlineLevel="0" collapsed="false">
      <c r="A29" s="10" t="n">
        <v>23</v>
      </c>
      <c r="B29" s="9" t="s">
        <v>192</v>
      </c>
      <c r="C29" s="9" t="s">
        <v>605</v>
      </c>
      <c r="D29" s="15" t="n">
        <f aca="false">COUNTIF(提出物チェックリスト!$B$7:$B$88,$A29)</f>
        <v>3</v>
      </c>
      <c r="E29" s="15" t="n">
        <f aca="false">COUNTIF(チェックポイント確認!$B$7:$B$169,$A29)</f>
        <v>4</v>
      </c>
      <c r="F29" s="10" t="s">
        <v>23</v>
      </c>
      <c r="G29" s="10" t="s">
        <v>23</v>
      </c>
      <c r="H29" s="10" t="n">
        <v>139</v>
      </c>
      <c r="I29" s="8"/>
    </row>
    <row r="30" customFormat="false" ht="15" hidden="false" customHeight="true" outlineLevel="0" collapsed="false">
      <c r="A30" s="10" t="n">
        <v>24</v>
      </c>
      <c r="B30" s="9" t="s">
        <v>198</v>
      </c>
      <c r="C30" s="9" t="s">
        <v>615</v>
      </c>
      <c r="D30" s="15" t="n">
        <f aca="false">COUNTIF(提出物チェックリスト!$B$7:$B$88,$A30)</f>
        <v>2</v>
      </c>
      <c r="E30" s="15" t="n">
        <f aca="false">COUNTIF(チェックポイント確認!$B$7:$B$169,$A30)</f>
        <v>5</v>
      </c>
      <c r="F30" s="10" t="s">
        <v>23</v>
      </c>
      <c r="G30" s="10"/>
      <c r="H30" s="10" t="n">
        <v>1</v>
      </c>
      <c r="I30" s="8"/>
    </row>
    <row r="31" customFormat="false" ht="15" hidden="false" customHeight="true" outlineLevel="0" collapsed="false">
      <c r="A31" s="10" t="n">
        <v>25</v>
      </c>
      <c r="B31" s="9" t="s">
        <v>203</v>
      </c>
      <c r="C31" s="9" t="s">
        <v>616</v>
      </c>
      <c r="D31" s="15" t="n">
        <f aca="false">COUNTIF(提出物チェックリスト!$B$7:$B$88,$A31)</f>
        <v>4</v>
      </c>
      <c r="E31" s="15" t="n">
        <f aca="false">COUNTIF(チェックポイント確認!$B$7:$B$169,$A31)</f>
        <v>6</v>
      </c>
      <c r="F31" s="10" t="s">
        <v>23</v>
      </c>
      <c r="G31" s="10" t="s">
        <v>23</v>
      </c>
      <c r="H31" s="10" t="n">
        <v>169</v>
      </c>
      <c r="I31" s="8"/>
    </row>
    <row r="32" customFormat="false" ht="15" hidden="false" customHeight="true" outlineLevel="0" collapsed="false">
      <c r="A32" s="10" t="n">
        <v>26</v>
      </c>
      <c r="B32" s="9" t="s">
        <v>212</v>
      </c>
      <c r="C32" s="9" t="s">
        <v>617</v>
      </c>
      <c r="D32" s="15" t="n">
        <f aca="false">COUNTIF(提出物チェックリスト!$B$7:$B$88,$A32)</f>
        <v>4</v>
      </c>
      <c r="E32" s="15" t="n">
        <f aca="false">COUNTIF(チェックポイント確認!$B$7:$B$169,$A32)</f>
        <v>8</v>
      </c>
      <c r="F32" s="10" t="s">
        <v>23</v>
      </c>
      <c r="G32" s="10" t="s">
        <v>23</v>
      </c>
      <c r="H32" s="10" t="n">
        <v>193</v>
      </c>
      <c r="I32" s="8"/>
    </row>
    <row r="33" customFormat="false" ht="15" hidden="false" customHeight="true" outlineLevel="0" collapsed="false">
      <c r="A33" s="10" t="n">
        <v>27</v>
      </c>
      <c r="B33" s="9" t="s">
        <v>224</v>
      </c>
      <c r="C33" s="9" t="s">
        <v>618</v>
      </c>
      <c r="D33" s="15" t="n">
        <f aca="false">COUNTIF(提出物チェックリスト!$B$7:$B$88,$A33)</f>
        <v>1</v>
      </c>
      <c r="E33" s="15" t="n">
        <f aca="false">COUNTIF(チェックポイント確認!$B$7:$B$169,$A33)</f>
        <v>7</v>
      </c>
      <c r="F33" s="10" t="s">
        <v>23</v>
      </c>
      <c r="G33" s="10" t="s">
        <v>23</v>
      </c>
      <c r="H33" s="10" t="n">
        <v>1</v>
      </c>
      <c r="I33" s="8"/>
    </row>
    <row r="34" customFormat="false" ht="15" hidden="false" customHeight="true" outlineLevel="0" collapsed="false">
      <c r="A34" s="10" t="n">
        <v>28</v>
      </c>
      <c r="B34" s="9" t="s">
        <v>227</v>
      </c>
      <c r="C34" s="9" t="s">
        <v>618</v>
      </c>
      <c r="D34" s="15" t="n">
        <f aca="false">COUNTIF(提出物チェックリスト!$B$7:$B$88,$A34)</f>
        <v>2</v>
      </c>
      <c r="E34" s="15" t="n">
        <f aca="false">COUNTIF(チェックポイント確認!$B$7:$B$169,$A34)</f>
        <v>7</v>
      </c>
      <c r="F34" s="10" t="s">
        <v>23</v>
      </c>
      <c r="G34" s="10" t="s">
        <v>23</v>
      </c>
      <c r="H34" s="10" t="n">
        <v>9</v>
      </c>
      <c r="I34" s="8"/>
    </row>
    <row r="35" customFormat="false" ht="15.75" hidden="false" customHeight="true" outlineLevel="0" collapsed="false">
      <c r="A35" s="16" t="s">
        <v>619</v>
      </c>
      <c r="B35" s="16"/>
      <c r="C35" s="16"/>
      <c r="D35" s="17" t="n">
        <f aca="false">SUM(D7:D34)</f>
        <v>82</v>
      </c>
      <c r="E35" s="17" t="n">
        <f aca="false">SUM(E7:E34)</f>
        <v>163</v>
      </c>
      <c r="F35" s="16"/>
      <c r="G35" s="16"/>
      <c r="H35" s="17" t="n">
        <f aca="false">SUM(H7:H34)</f>
        <v>2495</v>
      </c>
      <c r="I35" s="16"/>
    </row>
  </sheetData>
  <mergeCells count="3">
    <mergeCell ref="A2:I2"/>
    <mergeCell ref="A3:I3"/>
    <mergeCell ref="A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B380A6FC684F48A824C6A8F4E68BA3" ma:contentTypeVersion="7" ma:contentTypeDescription="新しいドキュメントを作成します。" ma:contentTypeScope="" ma:versionID="3216dfaaaf2ba1f1b82f128b00a73d4d">
  <xsd:schema xmlns:xsd="http://www.w3.org/2001/XMLSchema" xmlns:xs="http://www.w3.org/2001/XMLSchema" xmlns:p="http://schemas.microsoft.com/office/2006/metadata/properties" xmlns:ns2="b86cfae6-effd-481e-8637-e6ea804545bb" targetNamespace="http://schemas.microsoft.com/office/2006/metadata/properties" ma:root="true" ma:fieldsID="f77b5e18694c9caa5739b19495f75547" ns2:_="">
    <xsd:import namespace="b86cfae6-effd-481e-8637-e6ea804545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cfae6-effd-481e-8637-e6ea804545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152C1B-0BEF-4938-A701-C0873D42FA40}"/>
</file>

<file path=customXml/itemProps2.xml><?xml version="1.0" encoding="utf-8"?>
<ds:datastoreItem xmlns:ds="http://schemas.openxmlformats.org/officeDocument/2006/customXml" ds:itemID="{BBAD995C-E2C4-48E7-9CFB-D8706CC6195C}"/>
</file>

<file path=customXml/itemProps3.xml><?xml version="1.0" encoding="utf-8"?>
<ds:datastoreItem xmlns:ds="http://schemas.openxmlformats.org/officeDocument/2006/customXml" ds:itemID="{1A06F8AA-370F-4113-BD7F-F03F76485F5F}"/>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橋本 壮汰 (Sota Hashimoto)</cp:lastModifiedBy>
  <cp:revision>0</cp:revision>
  <dcterms:created xsi:type="dcterms:W3CDTF">2026-06-07T12:07:52Z</dcterms:created>
  <dcterms:modified xsi:type="dcterms:W3CDTF">2026-06-09T04:33:31Z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0x010100BEB380A6FC684F48A824C6A8F4E68BA3</vt:lpwstr>
  </property>
</Properties>
</file>